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44525"/>
</workbook>
</file>

<file path=xl/calcChain.xml><?xml version="1.0" encoding="utf-8"?>
<calcChain xmlns="http://schemas.openxmlformats.org/spreadsheetml/2006/main">
  <c r="K46" i="1" l="1"/>
  <c r="O46" i="1" s="1"/>
  <c r="K45" i="1"/>
  <c r="M45" i="1" s="1"/>
  <c r="O44" i="1"/>
  <c r="K44" i="1"/>
  <c r="M44" i="1" s="1"/>
  <c r="K43" i="1"/>
  <c r="M43" i="1" s="1"/>
  <c r="K42" i="1"/>
  <c r="M42" i="1" s="1"/>
  <c r="O41" i="1"/>
  <c r="K41" i="1"/>
  <c r="M41" i="1" s="1"/>
  <c r="K40" i="1"/>
  <c r="M40" i="1" s="1"/>
  <c r="O39" i="1"/>
  <c r="R39" i="1" s="1"/>
  <c r="K39" i="1"/>
  <c r="M39" i="1" s="1"/>
  <c r="K38" i="1"/>
  <c r="M38" i="1" s="1"/>
  <c r="M37" i="1"/>
  <c r="K37" i="1"/>
  <c r="S37" i="1" s="1"/>
  <c r="O36" i="1"/>
  <c r="M36" i="1"/>
  <c r="R36" i="1" s="1"/>
  <c r="K36" i="1"/>
  <c r="S36" i="1" s="1"/>
  <c r="U36" i="1" s="1"/>
  <c r="O35" i="1"/>
  <c r="M35" i="1"/>
  <c r="R35" i="1" s="1"/>
  <c r="K35" i="1"/>
  <c r="O34" i="1"/>
  <c r="K34" i="1"/>
  <c r="M34" i="1" s="1"/>
  <c r="O33" i="1"/>
  <c r="M33" i="1"/>
  <c r="R33" i="1" s="1"/>
  <c r="K33" i="1"/>
  <c r="S33" i="1" s="1"/>
  <c r="M32" i="1"/>
  <c r="K32" i="1"/>
  <c r="S32" i="1" s="1"/>
  <c r="K31" i="1"/>
  <c r="M31" i="1" s="1"/>
  <c r="O30" i="1"/>
  <c r="M30" i="1"/>
  <c r="R30" i="1" s="1"/>
  <c r="K30" i="1"/>
  <c r="S30" i="1" s="1"/>
  <c r="O29" i="1"/>
  <c r="K29" i="1"/>
  <c r="M29" i="1" s="1"/>
  <c r="M28" i="1"/>
  <c r="K28" i="1"/>
  <c r="S28" i="1" s="1"/>
  <c r="O27" i="1"/>
  <c r="K27" i="1"/>
  <c r="M27" i="1" s="1"/>
  <c r="M26" i="1"/>
  <c r="K26" i="1"/>
  <c r="S26" i="1" s="1"/>
  <c r="K25" i="1"/>
  <c r="M25" i="1" s="1"/>
  <c r="M24" i="1"/>
  <c r="K24" i="1"/>
  <c r="O24" i="1" s="1"/>
  <c r="R24" i="1" s="1"/>
  <c r="O23" i="1"/>
  <c r="K23" i="1"/>
  <c r="M23" i="1" s="1"/>
  <c r="M22" i="1"/>
  <c r="K22" i="1"/>
  <c r="S22" i="1" s="1"/>
  <c r="O21" i="1"/>
  <c r="K21" i="1"/>
  <c r="M21" i="1" s="1"/>
  <c r="M20" i="1"/>
  <c r="K20" i="1"/>
  <c r="O20" i="1" s="1"/>
  <c r="R20" i="1" s="1"/>
  <c r="U20" i="1" s="1"/>
  <c r="M19" i="1"/>
  <c r="K19" i="1"/>
  <c r="O19" i="1" s="1"/>
  <c r="R19" i="1" s="1"/>
  <c r="M18" i="1"/>
  <c r="K18" i="1"/>
  <c r="O18" i="1" s="1"/>
  <c r="R18" i="1" s="1"/>
  <c r="K17" i="1"/>
  <c r="M17" i="1" s="1"/>
  <c r="M16" i="1"/>
  <c r="K16" i="1"/>
  <c r="O16" i="1" s="1"/>
  <c r="R16" i="1" s="1"/>
  <c r="S16" i="1" s="1"/>
  <c r="O15" i="1"/>
  <c r="R15" i="1" s="1"/>
  <c r="S15" i="1" s="1"/>
  <c r="K15" i="1"/>
  <c r="M15" i="1" s="1"/>
  <c r="K14" i="1"/>
  <c r="M14" i="1" s="1"/>
  <c r="M13" i="1"/>
  <c r="K13" i="1"/>
  <c r="O13" i="1" s="1"/>
  <c r="R13" i="1" s="1"/>
  <c r="S13" i="1" s="1"/>
  <c r="O12" i="1"/>
  <c r="K12" i="1"/>
  <c r="M12" i="1" s="1"/>
  <c r="R11" i="1"/>
  <c r="O11" i="1"/>
  <c r="M11" i="1"/>
  <c r="K11" i="1"/>
  <c r="S11" i="1" s="1"/>
  <c r="K10" i="1"/>
  <c r="M10" i="1" s="1"/>
  <c r="K9" i="1"/>
  <c r="M9" i="1" s="1"/>
  <c r="K8" i="1"/>
  <c r="M8" i="1" s="1"/>
  <c r="O7" i="1"/>
  <c r="K7" i="1"/>
  <c r="M7" i="1" s="1"/>
  <c r="R7" i="1" s="1"/>
  <c r="Q6" i="1"/>
  <c r="M6" i="1"/>
  <c r="K6" i="1"/>
  <c r="O6" i="1" s="1"/>
  <c r="K3" i="1"/>
  <c r="M3" i="1" s="1"/>
  <c r="K2" i="1"/>
  <c r="M2" i="1" s="1"/>
  <c r="O2" i="1" l="1"/>
  <c r="R2" i="1" s="1"/>
  <c r="S2" i="1" s="1"/>
  <c r="U2" i="1" s="1"/>
  <c r="R34" i="1"/>
  <c r="R27" i="1"/>
  <c r="R29" i="1"/>
  <c r="R3" i="1"/>
  <c r="S3" i="1" s="1"/>
  <c r="O3" i="1"/>
  <c r="R6" i="1"/>
  <c r="U6" i="1" s="1"/>
  <c r="W6" i="1" s="1"/>
  <c r="R8" i="1"/>
  <c r="R12" i="1"/>
  <c r="S12" i="1" s="1"/>
  <c r="R21" i="1"/>
  <c r="R23" i="1"/>
  <c r="U32" i="1"/>
  <c r="R41" i="1"/>
  <c r="R44" i="1"/>
  <c r="O8" i="1"/>
  <c r="O9" i="1"/>
  <c r="R9" i="1" s="1"/>
  <c r="O14" i="1"/>
  <c r="R14" i="1" s="1"/>
  <c r="S14" i="1" s="1"/>
  <c r="U14" i="1" s="1"/>
  <c r="O17" i="1"/>
  <c r="R17" i="1" s="1"/>
  <c r="U17" i="1" s="1"/>
  <c r="S21" i="1"/>
  <c r="S23" i="1"/>
  <c r="O25" i="1"/>
  <c r="R25" i="1" s="1"/>
  <c r="S27" i="1"/>
  <c r="S29" i="1"/>
  <c r="O31" i="1"/>
  <c r="R31" i="1" s="1"/>
  <c r="S34" i="1"/>
  <c r="U33" i="1" s="1"/>
  <c r="W33" i="1" s="1"/>
  <c r="O38" i="1"/>
  <c r="R38" i="1" s="1"/>
  <c r="S39" i="1"/>
  <c r="T39" i="1" s="1"/>
  <c r="O40" i="1"/>
  <c r="R40" i="1" s="1"/>
  <c r="T40" i="1" s="1"/>
  <c r="S41" i="1"/>
  <c r="O42" i="1"/>
  <c r="R42" i="1" s="1"/>
  <c r="O43" i="1"/>
  <c r="R43" i="1" s="1"/>
  <c r="S44" i="1"/>
  <c r="O45" i="1"/>
  <c r="R45" i="1" s="1"/>
  <c r="S46" i="1"/>
  <c r="O10" i="1"/>
  <c r="R10" i="1" s="1"/>
  <c r="S10" i="1" s="1"/>
  <c r="O22" i="1"/>
  <c r="R22" i="1" s="1"/>
  <c r="S24" i="1"/>
  <c r="O26" i="1"/>
  <c r="R26" i="1" s="1"/>
  <c r="O28" i="1"/>
  <c r="R28" i="1" s="1"/>
  <c r="O32" i="1"/>
  <c r="R32" i="1" s="1"/>
  <c r="O37" i="1"/>
  <c r="R37" i="1" s="1"/>
  <c r="T37" i="1" s="1"/>
  <c r="M46" i="1"/>
  <c r="R46" i="1" s="1"/>
  <c r="T46" i="1" s="1"/>
  <c r="U46" i="1" s="1"/>
  <c r="W46" i="1" s="1"/>
  <c r="S31" i="1"/>
  <c r="S38" i="1"/>
  <c r="S40" i="1"/>
  <c r="S42" i="1"/>
  <c r="S43" i="1"/>
  <c r="S45" i="1"/>
  <c r="S25" i="1"/>
  <c r="S7" i="1" l="1"/>
  <c r="W7" i="1" s="1"/>
  <c r="T42" i="1"/>
  <c r="T38" i="1"/>
  <c r="U37" i="1" s="1"/>
  <c r="T44" i="1"/>
  <c r="U21" i="1"/>
  <c r="W21" i="1" s="1"/>
  <c r="T43" i="1"/>
  <c r="U27" i="1"/>
  <c r="W27" i="1" s="1"/>
  <c r="T45" i="1"/>
  <c r="T41" i="1"/>
  <c r="U42" i="1" l="1"/>
  <c r="W42" i="1" s="1"/>
</calcChain>
</file>

<file path=xl/sharedStrings.xml><?xml version="1.0" encoding="utf-8"?>
<sst xmlns="http://schemas.openxmlformats.org/spreadsheetml/2006/main" count="164" uniqueCount="114">
  <si>
    <t>SELLING DATE</t>
  </si>
  <si>
    <t>BILL NO</t>
  </si>
  <si>
    <t>CUSTOMER NAME</t>
  </si>
  <si>
    <t>CUSTOMER TYPE</t>
  </si>
  <si>
    <t>GST NUMBER</t>
  </si>
  <si>
    <t>ADDRESS</t>
  </si>
  <si>
    <t>ITEM DESCRIPTION</t>
  </si>
  <si>
    <t>HSN CODE</t>
  </si>
  <si>
    <t>QTY</t>
  </si>
  <si>
    <t>AMOUNT</t>
  </si>
  <si>
    <t>Taxable Value</t>
  </si>
  <si>
    <t>CGST Rate</t>
  </si>
  <si>
    <t>CGST Amount</t>
  </si>
  <si>
    <t>SGST Rate</t>
  </si>
  <si>
    <t>SGST Amount</t>
  </si>
  <si>
    <t>IGST Rate</t>
  </si>
  <si>
    <t>IGST Amount</t>
  </si>
  <si>
    <t>Total TAX</t>
  </si>
  <si>
    <t>Bill Total</t>
  </si>
  <si>
    <t>Bill Incl GST</t>
  </si>
  <si>
    <t>Round off</t>
  </si>
  <si>
    <t>TOTAL BILL AMOUNT</t>
  </si>
  <si>
    <t>TGIT/001/26-27</t>
  </si>
  <si>
    <t>TAPAS KUMAR</t>
  </si>
  <si>
    <t>NON GST</t>
  </si>
  <si>
    <t>NA</t>
  </si>
  <si>
    <t>MADHYAPARA BANSDRONI KOL 70</t>
  </si>
  <si>
    <t>HEAD CANON BLACK BH7</t>
  </si>
  <si>
    <t>INK BOTTLE CANON GL 790 BK</t>
  </si>
  <si>
    <t>TGIT/002/26-27</t>
  </si>
  <si>
    <t>AVIJIT SAHA</t>
  </si>
  <si>
    <t>BANSDRONI</t>
  </si>
  <si>
    <t>TGIT/003/26-27</t>
  </si>
  <si>
    <t>POUSALI DAS</t>
  </si>
  <si>
    <t>HARIDEBPUR</t>
  </si>
  <si>
    <t>STARLITE LAPTOP RAM 8GB DDR4 2666</t>
  </si>
  <si>
    <t>TGIT/004/26-27</t>
  </si>
  <si>
    <t>S Chattterjee</t>
  </si>
  <si>
    <t>HEDUAPARK</t>
  </si>
  <si>
    <t>SSD 256GB</t>
  </si>
  <si>
    <t>DDR3 4GB RAM</t>
  </si>
  <si>
    <t>DDR 3 8GB RAM</t>
  </si>
  <si>
    <t>TGIT/005/26-27</t>
  </si>
  <si>
    <t>Sunrise Residency</t>
  </si>
  <si>
    <t>HDD DAICHI 1TB</t>
  </si>
  <si>
    <t>TGIT/006/26-27</t>
  </si>
  <si>
    <t>Arunodoy Sangha</t>
  </si>
  <si>
    <t>Lapcare UPS</t>
  </si>
  <si>
    <t>TGIT/007/26-27</t>
  </si>
  <si>
    <t>Amal Benarjee</t>
  </si>
  <si>
    <t>Coconut Wifi + Bt Dongle</t>
  </si>
  <si>
    <t>TGIT/008/26-27</t>
  </si>
  <si>
    <t>Suma C</t>
  </si>
  <si>
    <t>LOGITECH WEBCAM GRAPHITE BRIO 100</t>
  </si>
  <si>
    <t>TGIT/009/26-27</t>
  </si>
  <si>
    <t>Subhankar Bera</t>
  </si>
  <si>
    <t>HP PRINTER 5810 Gear Box</t>
  </si>
  <si>
    <t>HP PRINTER 5810 Pickup Roller</t>
  </si>
  <si>
    <t>Service installation</t>
  </si>
  <si>
    <t>TGIT/010/26-27</t>
  </si>
  <si>
    <t>Mack Insurance Surveyors &amp; Loss</t>
  </si>
  <si>
    <t>GST</t>
  </si>
  <si>
    <t>19AAFCM2347C1ZO</t>
  </si>
  <si>
    <t>Kolkata 700012</t>
  </si>
  <si>
    <t xml:space="preserve">CP-Z43Q SY CP EZYKAM </t>
  </si>
  <si>
    <t>HP INK TANK PRINTER WASTE CARTIDGE</t>
  </si>
  <si>
    <t>CAMERA INSTALLATION CHARGE</t>
  </si>
  <si>
    <t>TGIT/011/26-27</t>
  </si>
  <si>
    <t>Dipyaman Pal</t>
  </si>
  <si>
    <t>Kolkata 47</t>
  </si>
  <si>
    <t>WD 500GB SSD 3D NAND SATA III 6GB S 2.5 7MM GREEN</t>
  </si>
  <si>
    <t>TGIT/012/26-27</t>
  </si>
  <si>
    <t>Bethune College Department of Physics</t>
  </si>
  <si>
    <t>181 Bidhan Sarani kolkata 700006</t>
  </si>
  <si>
    <t>windows 11</t>
  </si>
  <si>
    <t>office 21</t>
  </si>
  <si>
    <t>HDD ZEBRONICS SSD 512 GB ZEB-SD52</t>
  </si>
  <si>
    <t>DDR3 8GB RAM</t>
  </si>
  <si>
    <t>windows 10</t>
  </si>
  <si>
    <t>TGIT/013/26-27</t>
  </si>
  <si>
    <t>MAHITOSH BHOWMICK</t>
  </si>
  <si>
    <t>NIMTOURI, PURBA MEDINIPUR PIN 721649</t>
  </si>
  <si>
    <t>HP USB MOUSE</t>
  </si>
  <si>
    <t>Coconut Wifi Dongle</t>
  </si>
  <si>
    <t>Window 10</t>
  </si>
  <si>
    <t>TGIT/014/26-27</t>
  </si>
  <si>
    <t>RAJESH SAHA</t>
  </si>
  <si>
    <t>NSC BOSE ROAD KOLKATA-700047</t>
  </si>
  <si>
    <t>Windows 11</t>
  </si>
  <si>
    <t>TGIT/015/26-27</t>
  </si>
  <si>
    <t>DIPANKAR MAJUMDAR</t>
  </si>
  <si>
    <t>Window 11</t>
  </si>
  <si>
    <t>TGIT/016/26-27</t>
  </si>
  <si>
    <t>SOMNATH DAS</t>
  </si>
  <si>
    <t>KAIKHALI KOLKATA 700136</t>
  </si>
  <si>
    <t>TP LINK WIRELESS RANGE EXTENDER TL-WA850RE</t>
  </si>
  <si>
    <t>TGIT/017/26-27</t>
  </si>
  <si>
    <t>Bethune College Department of ZOOLOGY</t>
  </si>
  <si>
    <t>SSD 256GB Consistent</t>
  </si>
  <si>
    <t>CADDY</t>
  </si>
  <si>
    <t>LAPTOP DDR3 RAM 8GB</t>
  </si>
  <si>
    <t>TGIT/018/26-27</t>
  </si>
  <si>
    <t>Bethune College Department of History</t>
  </si>
  <si>
    <t>Honey Well USB Momentum</t>
  </si>
  <si>
    <t>DDR3 RAM 8GB DESKTOP RAM</t>
  </si>
  <si>
    <t>SSD 256 GB CONSISTENT</t>
  </si>
  <si>
    <t>TGIT/019/26-27</t>
  </si>
  <si>
    <t>RAJA GHOSH</t>
  </si>
  <si>
    <t>Nather Bagan Street, Sovabazar Kolkata 700005</t>
  </si>
  <si>
    <t>DAICHI HDD 500 GB</t>
  </si>
  <si>
    <t>TGIT/020/26-27</t>
  </si>
  <si>
    <t>TGIT/021/26-27</t>
  </si>
  <si>
    <t>TGIT/022/26-27</t>
  </si>
  <si>
    <t>TGIT/023/26-27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</si>
</sst>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2" borderId="1" xfId="0" applyNumberFormat="1" applyFill="1" applyBorder="1" applyAlignmen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3" borderId="1" xfId="0" applyFill="1" applyBorder="1" applyAlignment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4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/>
    <xf numFmtId="2" fontId="0" fillId="5" borderId="1" xfId="0" applyNumberFormat="1" applyFill="1" applyBorder="1"/>
    <xf numFmtId="2" fontId="0" fillId="5" borderId="2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1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14" fontId="0" fillId="6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1" fillId="6" borderId="1" xfId="0" applyFont="1" applyFill="1" applyBorder="1"/>
    <xf numFmtId="2" fontId="0" fillId="6" borderId="1" xfId="0" applyNumberFormat="1" applyFill="1" applyBorder="1"/>
    <xf numFmtId="14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2" fontId="0" fillId="7" borderId="1" xfId="0" applyNumberFormat="1" applyFill="1" applyBorder="1"/>
    <xf numFmtId="14" fontId="0" fillId="8" borderId="1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2" fontId="0" fillId="8" borderId="1" xfId="0" applyNumberFormat="1" applyFill="1" applyBorder="1"/>
    <xf numFmtId="14" fontId="0" fillId="9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2" fontId="0" fillId="9" borderId="1" xfId="0" applyNumberFormat="1" applyFill="1" applyBorder="1"/>
    <xf numFmtId="14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/>
    <xf numFmtId="2" fontId="0" fillId="10" borderId="1" xfId="0" applyNumberFormat="1" applyFill="1" applyBorder="1" applyAlignment="1">
      <alignment vertical="center"/>
    </xf>
    <xf numFmtId="2" fontId="0" fillId="10" borderId="2" xfId="0" applyNumberFormat="1" applyFill="1" applyBorder="1" applyAlignment="1">
      <alignment vertical="center"/>
    </xf>
    <xf numFmtId="2" fontId="0" fillId="10" borderId="2" xfId="0" applyNumberFormat="1" applyFill="1" applyBorder="1" applyAlignment="1">
      <alignment horizontal="center" vertical="center"/>
    </xf>
    <xf numFmtId="14" fontId="0" fillId="10" borderId="4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/>
    </xf>
    <xf numFmtId="2" fontId="1" fillId="10" borderId="1" xfId="0" applyNumberFormat="1" applyFont="1" applyFill="1" applyBorder="1" applyAlignment="1">
      <alignment vertical="center"/>
    </xf>
    <xf numFmtId="2" fontId="0" fillId="10" borderId="4" xfId="0" applyNumberFormat="1" applyFill="1" applyBorder="1" applyAlignment="1">
      <alignment vertical="center"/>
    </xf>
    <xf numFmtId="14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2" fontId="0" fillId="10" borderId="3" xfId="0" applyNumberFormat="1" applyFill="1" applyBorder="1" applyAlignment="1">
      <alignment vertical="center"/>
    </xf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2" fontId="0" fillId="11" borderId="1" xfId="0" applyNumberFormat="1" applyFill="1" applyBorder="1"/>
    <xf numFmtId="2" fontId="0" fillId="11" borderId="2" xfId="0" applyNumberFormat="1" applyFill="1" applyBorder="1"/>
    <xf numFmtId="2" fontId="0" fillId="11" borderId="2" xfId="0" applyNumberFormat="1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2" fontId="0" fillId="11" borderId="4" xfId="0" applyNumberFormat="1" applyFill="1" applyBorder="1"/>
    <xf numFmtId="2" fontId="0" fillId="11" borderId="4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2" fontId="0" fillId="11" borderId="3" xfId="0" applyNumberFormat="1" applyFill="1" applyBorder="1"/>
    <xf numFmtId="2" fontId="0" fillId="11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2" fontId="0" fillId="11" borderId="3" xfId="0" applyNumberForma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wrapText="1"/>
    </xf>
    <xf numFmtId="2" fontId="0" fillId="12" borderId="1" xfId="0" applyNumberFormat="1" applyFill="1" applyBorder="1"/>
    <xf numFmtId="14" fontId="0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ont="1" applyFill="1" applyBorder="1"/>
    <xf numFmtId="2" fontId="0" fillId="13" borderId="1" xfId="0" applyNumberFormat="1" applyFont="1" applyFill="1" applyBorder="1"/>
    <xf numFmtId="2" fontId="0" fillId="13" borderId="2" xfId="0" applyNumberFormat="1" applyFont="1" applyFill="1" applyBorder="1"/>
    <xf numFmtId="2" fontId="0" fillId="13" borderId="2" xfId="0" applyNumberFormat="1" applyFont="1" applyFill="1" applyBorder="1" applyAlignment="1">
      <alignment horizontal="center" vertical="center"/>
    </xf>
    <xf numFmtId="0" fontId="0" fillId="13" borderId="4" xfId="0" applyFont="1" applyFill="1" applyBorder="1" applyAlignment="1">
      <alignment horizontal="center" vertical="center" wrapText="1"/>
    </xf>
    <xf numFmtId="2" fontId="0" fillId="13" borderId="4" xfId="0" applyNumberFormat="1" applyFont="1" applyFill="1" applyBorder="1"/>
    <xf numFmtId="2" fontId="0" fillId="13" borderId="4" xfId="0" applyNumberFormat="1" applyFont="1" applyFill="1" applyBorder="1" applyAlignment="1">
      <alignment horizontal="center" vertical="center"/>
    </xf>
    <xf numFmtId="0" fontId="0" fillId="13" borderId="4" xfId="0" applyFont="1" applyFill="1" applyBorder="1" applyAlignment="1">
      <alignment horizontal="center" vertical="center"/>
    </xf>
    <xf numFmtId="0" fontId="0" fillId="13" borderId="1" xfId="0" applyFill="1" applyBorder="1"/>
    <xf numFmtId="2" fontId="0" fillId="13" borderId="1" xfId="0" applyNumberFormat="1" applyFill="1" applyBorder="1"/>
    <xf numFmtId="0" fontId="0" fillId="13" borderId="3" xfId="0" applyFont="1" applyFill="1" applyBorder="1" applyAlignment="1">
      <alignment horizontal="center" vertical="center" wrapText="1"/>
    </xf>
    <xf numFmtId="2" fontId="0" fillId="13" borderId="3" xfId="0" applyNumberFormat="1" applyFont="1" applyFill="1" applyBorder="1"/>
    <xf numFmtId="2" fontId="0" fillId="13" borderId="3" xfId="0" applyNumberFormat="1" applyFont="1" applyFill="1" applyBorder="1" applyAlignment="1">
      <alignment horizontal="center" vertical="center"/>
    </xf>
    <xf numFmtId="0" fontId="0" fillId="13" borderId="3" xfId="0" applyFont="1" applyFill="1" applyBorder="1" applyAlignment="1">
      <alignment horizontal="center" vertical="center"/>
    </xf>
    <xf numFmtId="14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2" fontId="0" fillId="8" borderId="2" xfId="0" applyNumberFormat="1" applyFill="1" applyBorder="1"/>
    <xf numFmtId="2" fontId="0" fillId="8" borderId="2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4" xfId="0" applyFill="1" applyBorder="1" applyAlignment="1">
      <alignment horizontal="center" vertical="center" wrapText="1"/>
    </xf>
    <xf numFmtId="2" fontId="0" fillId="8" borderId="4" xfId="0" applyNumberFormat="1" applyFill="1" applyBorder="1"/>
    <xf numFmtId="2" fontId="0" fillId="8" borderId="4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/>
    </xf>
    <xf numFmtId="14" fontId="0" fillId="14" borderId="1" xfId="0" applyNumberFormat="1" applyFill="1" applyBorder="1"/>
    <xf numFmtId="0" fontId="0" fillId="14" borderId="1" xfId="0" applyFill="1" applyBorder="1"/>
    <xf numFmtId="0" fontId="0" fillId="14" borderId="1" xfId="0" applyFill="1" applyBorder="1" applyAlignment="1">
      <alignment wrapText="1"/>
    </xf>
    <xf numFmtId="2" fontId="0" fillId="14" borderId="1" xfId="0" applyNumberFormat="1" applyFill="1" applyBorder="1"/>
    <xf numFmtId="2" fontId="0" fillId="14" borderId="1" xfId="0" applyNumberFormat="1" applyFill="1" applyBorder="1" applyAlignment="1">
      <alignment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wrapText="1"/>
    </xf>
    <xf numFmtId="0" fontId="0" fillId="9" borderId="2" xfId="0" applyFill="1" applyBorder="1" applyAlignment="1">
      <alignment horizontal="center"/>
    </xf>
    <xf numFmtId="2" fontId="0" fillId="9" borderId="2" xfId="0" applyNumberFormat="1" applyFill="1" applyBorder="1"/>
    <xf numFmtId="2" fontId="0" fillId="9" borderId="2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wrapText="1"/>
    </xf>
    <xf numFmtId="0" fontId="0" fillId="9" borderId="4" xfId="0" applyFill="1" applyBorder="1" applyAlignment="1">
      <alignment horizontal="center"/>
    </xf>
    <xf numFmtId="2" fontId="0" fillId="9" borderId="4" xfId="0" applyNumberFormat="1" applyFill="1" applyBorder="1"/>
    <xf numFmtId="2" fontId="0" fillId="9" borderId="4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0" fillId="9" borderId="3" xfId="0" applyFill="1" applyBorder="1" applyAlignment="1">
      <alignment horizontal="center"/>
    </xf>
    <xf numFmtId="2" fontId="0" fillId="9" borderId="3" xfId="0" applyNumberFormat="1" applyFill="1" applyBorder="1"/>
    <xf numFmtId="2" fontId="0" fillId="9" borderId="3" xfId="0" applyNumberFormat="1" applyFill="1" applyBorder="1" applyAlignment="1">
      <alignment horizontal="center" vertical="center"/>
    </xf>
    <xf numFmtId="14" fontId="0" fillId="15" borderId="2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15" borderId="1" xfId="0" applyFill="1" applyBorder="1"/>
    <xf numFmtId="2" fontId="0" fillId="15" borderId="1" xfId="0" applyNumberFormat="1" applyFill="1" applyBorder="1"/>
    <xf numFmtId="2" fontId="0" fillId="15" borderId="2" xfId="0" applyNumberFormat="1" applyFill="1" applyBorder="1" applyAlignment="1">
      <alignment horizontal="center" vertical="center"/>
    </xf>
    <xf numFmtId="14" fontId="0" fillId="15" borderId="4" xfId="0" applyNumberForma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 wrapText="1"/>
    </xf>
    <xf numFmtId="2" fontId="0" fillId="15" borderId="4" xfId="0" applyNumberFormat="1" applyFill="1" applyBorder="1" applyAlignment="1">
      <alignment horizontal="center" vertical="center"/>
    </xf>
    <xf numFmtId="14" fontId="0" fillId="15" borderId="3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 wrapText="1"/>
    </xf>
    <xf numFmtId="2" fontId="0" fillId="15" borderId="3" xfId="0" applyNumberFormat="1" applyFill="1" applyBorder="1" applyAlignment="1">
      <alignment horizontal="center" vertical="center"/>
    </xf>
    <xf numFmtId="14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/>
    <xf numFmtId="2" fontId="0" fillId="16" borderId="1" xfId="0" applyNumberFormat="1" applyFill="1" applyBorder="1"/>
    <xf numFmtId="2" fontId="0" fillId="16" borderId="2" xfId="0" applyNumberFormat="1" applyFill="1" applyBorder="1" applyAlignment="1">
      <alignment horizontal="center" vertical="center"/>
    </xf>
    <xf numFmtId="14" fontId="0" fillId="16" borderId="4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 wrapText="1"/>
    </xf>
    <xf numFmtId="2" fontId="0" fillId="16" borderId="4" xfId="0" applyNumberFormat="1" applyFill="1" applyBorder="1" applyAlignment="1">
      <alignment horizontal="center" vertical="center"/>
    </xf>
    <xf numFmtId="0" fontId="0" fillId="16" borderId="2" xfId="0" applyFill="1" applyBorder="1"/>
    <xf numFmtId="2" fontId="0" fillId="16" borderId="2" xfId="0" applyNumberFormat="1" applyFill="1" applyBorder="1"/>
    <xf numFmtId="14" fontId="0" fillId="17" borderId="1" xfId="0" applyNumberFormat="1" applyFill="1" applyBorder="1"/>
    <xf numFmtId="0" fontId="0" fillId="17" borderId="1" xfId="0" applyFill="1" applyBorder="1"/>
    <xf numFmtId="0" fontId="0" fillId="17" borderId="1" xfId="0" applyFill="1" applyBorder="1" applyAlignment="1">
      <alignment wrapText="1"/>
    </xf>
    <xf numFmtId="2" fontId="0" fillId="17" borderId="1" xfId="0" applyNumberFormat="1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14" fontId="0" fillId="18" borderId="1" xfId="0" applyNumberFormat="1" applyFill="1" applyBorder="1"/>
    <xf numFmtId="0" fontId="0" fillId="18" borderId="1" xfId="0" applyFill="1" applyBorder="1"/>
    <xf numFmtId="0" fontId="0" fillId="18" borderId="1" xfId="0" applyFill="1" applyBorder="1" applyAlignment="1">
      <alignment wrapText="1"/>
    </xf>
    <xf numFmtId="2" fontId="0" fillId="18" borderId="1" xfId="0" applyNumberFormat="1" applyFill="1" applyBorder="1"/>
    <xf numFmtId="14" fontId="0" fillId="19" borderId="1" xfId="0" applyNumberFormat="1" applyFill="1" applyBorder="1"/>
    <xf numFmtId="0" fontId="0" fillId="19" borderId="1" xfId="0" applyFill="1" applyBorder="1"/>
    <xf numFmtId="0" fontId="0" fillId="19" borderId="1" xfId="0" applyFill="1" applyBorder="1" applyAlignment="1">
      <alignment wrapText="1"/>
    </xf>
    <xf numFmtId="2" fontId="0" fillId="19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abSelected="1" topLeftCell="H1" workbookViewId="0">
      <selection sqref="A1:X50"/>
    </sheetView>
  </sheetViews>
  <sheetFormatPr defaultRowHeight="15" x14ac:dyDescent="0.25"/>
  <cols>
    <col min="1" max="1" width="8.42578125" bestFit="1" customWidth="1"/>
    <col min="2" max="2" width="14.42578125" bestFit="1" customWidth="1"/>
    <col min="3" max="3" width="39" bestFit="1" customWidth="1"/>
    <col min="4" max="4" width="11.85546875" customWidth="1"/>
    <col min="6" max="6" width="43.140625" bestFit="1" customWidth="1"/>
    <col min="7" max="7" width="50.1406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/>
      <c r="U1" s="2" t="s">
        <v>19</v>
      </c>
      <c r="V1" s="3"/>
      <c r="W1" s="4" t="s">
        <v>20</v>
      </c>
      <c r="X1" s="3" t="s">
        <v>21</v>
      </c>
    </row>
    <row r="2" spans="1:24" x14ac:dyDescent="0.25">
      <c r="A2" s="5">
        <v>46118</v>
      </c>
      <c r="B2" s="6" t="s">
        <v>22</v>
      </c>
      <c r="C2" s="7" t="s">
        <v>23</v>
      </c>
      <c r="D2" s="8" t="s">
        <v>24</v>
      </c>
      <c r="E2" s="8" t="s">
        <v>25</v>
      </c>
      <c r="F2" s="8" t="s">
        <v>26</v>
      </c>
      <c r="G2" s="9" t="s">
        <v>27</v>
      </c>
      <c r="H2" s="9">
        <v>84439959</v>
      </c>
      <c r="I2" s="9">
        <v>1</v>
      </c>
      <c r="J2" s="9">
        <v>1289.8399999999999</v>
      </c>
      <c r="K2" s="9">
        <f>J2*I2</f>
        <v>1289.8399999999999</v>
      </c>
      <c r="L2" s="10">
        <v>9</v>
      </c>
      <c r="M2" s="10">
        <f>(L2*K2)/100</f>
        <v>116.0856</v>
      </c>
      <c r="N2" s="10">
        <v>9</v>
      </c>
      <c r="O2" s="10">
        <f>M2</f>
        <v>116.0856</v>
      </c>
      <c r="P2" s="10"/>
      <c r="Q2" s="10"/>
      <c r="R2" s="10">
        <f>M2+O2+Q2</f>
        <v>232.1712</v>
      </c>
      <c r="S2" s="10">
        <f>J2+R2</f>
        <v>1522.0111999999999</v>
      </c>
      <c r="T2" s="10"/>
      <c r="U2" s="11">
        <f>S2+S3</f>
        <v>2200.0038</v>
      </c>
      <c r="V2" s="9"/>
      <c r="W2" s="9"/>
      <c r="X2" s="12">
        <v>2200</v>
      </c>
    </row>
    <row r="3" spans="1:24" x14ac:dyDescent="0.25">
      <c r="A3" s="5"/>
      <c r="B3" s="6"/>
      <c r="C3" s="7"/>
      <c r="D3" s="8"/>
      <c r="E3" s="8"/>
      <c r="F3" s="8"/>
      <c r="G3" s="9" t="s">
        <v>28</v>
      </c>
      <c r="H3" s="9">
        <v>3215</v>
      </c>
      <c r="I3" s="9">
        <v>1</v>
      </c>
      <c r="J3" s="9">
        <v>574.57000000000005</v>
      </c>
      <c r="K3" s="9">
        <f>J3*I3</f>
        <v>574.57000000000005</v>
      </c>
      <c r="L3" s="10">
        <v>9</v>
      </c>
      <c r="M3" s="10">
        <f>(L3*K3)/100</f>
        <v>51.711300000000001</v>
      </c>
      <c r="N3" s="10">
        <v>9</v>
      </c>
      <c r="O3" s="10">
        <f>M3</f>
        <v>51.711300000000001</v>
      </c>
      <c r="P3" s="10"/>
      <c r="Q3" s="10"/>
      <c r="R3" s="10">
        <f>M3+O3+Q3</f>
        <v>103.4226</v>
      </c>
      <c r="S3" s="10">
        <f>J3+R3</f>
        <v>677.99260000000004</v>
      </c>
      <c r="T3" s="10"/>
      <c r="U3" s="8"/>
      <c r="V3" s="9"/>
      <c r="W3" s="9"/>
      <c r="X3" s="13"/>
    </row>
    <row r="4" spans="1:24" x14ac:dyDescent="0.25">
      <c r="A4" s="14"/>
      <c r="B4" s="15" t="s">
        <v>29</v>
      </c>
      <c r="C4" s="16" t="s">
        <v>30</v>
      </c>
      <c r="D4" s="15" t="s">
        <v>24</v>
      </c>
      <c r="E4" s="15" t="s">
        <v>25</v>
      </c>
      <c r="F4" s="15" t="s">
        <v>31</v>
      </c>
      <c r="G4" s="17"/>
      <c r="H4" s="17">
        <v>85258900</v>
      </c>
      <c r="I4" s="17"/>
      <c r="J4" s="17"/>
      <c r="K4" s="17"/>
      <c r="L4" s="18"/>
      <c r="M4" s="18"/>
      <c r="N4" s="18"/>
      <c r="O4" s="18"/>
      <c r="P4" s="18"/>
      <c r="Q4" s="18"/>
      <c r="R4" s="18"/>
      <c r="S4" s="17"/>
      <c r="T4" s="18"/>
      <c r="U4" s="17"/>
      <c r="V4" s="17"/>
      <c r="W4" s="17"/>
      <c r="X4" s="18"/>
    </row>
    <row r="5" spans="1:24" x14ac:dyDescent="0.25">
      <c r="A5" s="14"/>
      <c r="B5" s="19"/>
      <c r="C5" s="20"/>
      <c r="D5" s="19"/>
      <c r="E5" s="19"/>
      <c r="F5" s="19"/>
      <c r="G5" s="17"/>
      <c r="H5" s="17">
        <v>85258900</v>
      </c>
      <c r="I5" s="17"/>
      <c r="J5" s="17"/>
      <c r="K5" s="17"/>
      <c r="L5" s="18"/>
      <c r="M5" s="18"/>
      <c r="N5" s="18"/>
      <c r="O5" s="18"/>
      <c r="P5" s="18"/>
      <c r="Q5" s="18"/>
      <c r="R5" s="18"/>
      <c r="S5" s="17"/>
      <c r="T5" s="18"/>
      <c r="U5" s="17"/>
      <c r="V5" s="17"/>
      <c r="W5" s="17"/>
      <c r="X5" s="18"/>
    </row>
    <row r="6" spans="1:24" ht="30" x14ac:dyDescent="0.25">
      <c r="A6" s="21">
        <v>46130</v>
      </c>
      <c r="B6" s="22" t="s">
        <v>32</v>
      </c>
      <c r="C6" s="23" t="s">
        <v>33</v>
      </c>
      <c r="D6" s="22" t="s">
        <v>24</v>
      </c>
      <c r="E6" s="22" t="s">
        <v>25</v>
      </c>
      <c r="F6" s="22" t="s">
        <v>34</v>
      </c>
      <c r="G6" s="22" t="s">
        <v>35</v>
      </c>
      <c r="H6" s="22">
        <v>84733030</v>
      </c>
      <c r="I6" s="22">
        <v>1</v>
      </c>
      <c r="J6" s="22">
        <v>4491.53</v>
      </c>
      <c r="K6" s="24">
        <f t="shared" ref="K6" si="0">I6*J6</f>
        <v>4491.53</v>
      </c>
      <c r="L6" s="24">
        <v>9</v>
      </c>
      <c r="M6" s="24">
        <f t="shared" ref="M6:M12" si="1">(L6*K6)/100</f>
        <v>404.23769999999996</v>
      </c>
      <c r="N6" s="24">
        <v>9</v>
      </c>
      <c r="O6" s="24">
        <f t="shared" ref="O6:O12" si="2">(N6*K6)/100</f>
        <v>404.23769999999996</v>
      </c>
      <c r="P6" s="24"/>
      <c r="Q6" s="24">
        <f t="shared" ref="Q6" si="3">(P6*K6)/100</f>
        <v>0</v>
      </c>
      <c r="R6" s="24">
        <f t="shared" ref="R6:R10" si="4">M6+O6+Q6</f>
        <v>808.47539999999992</v>
      </c>
      <c r="S6" s="22">
        <v>4491.53</v>
      </c>
      <c r="T6" s="24"/>
      <c r="U6" s="24">
        <f t="shared" ref="U6" si="5">(S6+R6)</f>
        <v>5300.0054</v>
      </c>
      <c r="V6" s="25"/>
      <c r="W6" s="26">
        <f>X6-U6</f>
        <v>-5.4000000000087311E-3</v>
      </c>
      <c r="X6" s="25">
        <v>5300</v>
      </c>
    </row>
    <row r="7" spans="1:24" x14ac:dyDescent="0.25">
      <c r="A7" s="27">
        <v>46133</v>
      </c>
      <c r="B7" s="28" t="s">
        <v>36</v>
      </c>
      <c r="C7" s="29" t="s">
        <v>37</v>
      </c>
      <c r="D7" s="28" t="s">
        <v>24</v>
      </c>
      <c r="E7" s="28" t="s">
        <v>25</v>
      </c>
      <c r="F7" s="28" t="s">
        <v>38</v>
      </c>
      <c r="G7" s="30" t="s">
        <v>39</v>
      </c>
      <c r="H7" s="30">
        <v>8523</v>
      </c>
      <c r="I7" s="30">
        <v>1</v>
      </c>
      <c r="J7" s="30">
        <v>2834.86</v>
      </c>
      <c r="K7" s="30">
        <f>J7*I7</f>
        <v>2834.86</v>
      </c>
      <c r="L7" s="31">
        <v>9</v>
      </c>
      <c r="M7" s="31">
        <f t="shared" si="1"/>
        <v>255.13740000000001</v>
      </c>
      <c r="N7" s="31">
        <v>9</v>
      </c>
      <c r="O7" s="31">
        <f t="shared" si="2"/>
        <v>255.13740000000001</v>
      </c>
      <c r="P7" s="31"/>
      <c r="Q7" s="31"/>
      <c r="R7" s="31">
        <f t="shared" si="4"/>
        <v>510.27480000000003</v>
      </c>
      <c r="S7" s="32">
        <f>K7+K8+K9+R7+R8+R9</f>
        <v>6000.0050000000001</v>
      </c>
      <c r="T7" s="33"/>
      <c r="U7" s="32"/>
      <c r="V7" s="34"/>
      <c r="W7" s="32">
        <f>X7-S7</f>
        <v>-5.0000000001091394E-3</v>
      </c>
      <c r="X7" s="32">
        <v>6000</v>
      </c>
    </row>
    <row r="8" spans="1:24" x14ac:dyDescent="0.25">
      <c r="A8" s="35"/>
      <c r="B8" s="36"/>
      <c r="C8" s="37"/>
      <c r="D8" s="36"/>
      <c r="E8" s="36"/>
      <c r="F8" s="36"/>
      <c r="G8" s="30" t="s">
        <v>40</v>
      </c>
      <c r="H8" s="30">
        <v>84733099</v>
      </c>
      <c r="I8" s="30">
        <v>1</v>
      </c>
      <c r="J8" s="30">
        <v>719.97</v>
      </c>
      <c r="K8" s="30">
        <f t="shared" ref="K8:K9" si="6">J8*I8</f>
        <v>719.97</v>
      </c>
      <c r="L8" s="31">
        <v>9</v>
      </c>
      <c r="M8" s="31">
        <f t="shared" si="1"/>
        <v>64.797300000000007</v>
      </c>
      <c r="N8" s="31">
        <v>9</v>
      </c>
      <c r="O8" s="31">
        <f t="shared" si="2"/>
        <v>64.797300000000007</v>
      </c>
      <c r="P8" s="31"/>
      <c r="Q8" s="31"/>
      <c r="R8" s="31">
        <f t="shared" si="4"/>
        <v>129.59460000000001</v>
      </c>
      <c r="S8" s="38"/>
      <c r="T8" s="39"/>
      <c r="U8" s="38"/>
      <c r="V8" s="38"/>
      <c r="W8" s="38"/>
      <c r="X8" s="40"/>
    </row>
    <row r="9" spans="1:24" x14ac:dyDescent="0.25">
      <c r="A9" s="41"/>
      <c r="B9" s="42"/>
      <c r="C9" s="43"/>
      <c r="D9" s="42"/>
      <c r="E9" s="42"/>
      <c r="F9" s="42"/>
      <c r="G9" s="30" t="s">
        <v>41</v>
      </c>
      <c r="H9" s="30">
        <v>84733099</v>
      </c>
      <c r="I9" s="30">
        <v>1</v>
      </c>
      <c r="J9" s="30">
        <v>1529.92</v>
      </c>
      <c r="K9" s="30">
        <f t="shared" si="6"/>
        <v>1529.92</v>
      </c>
      <c r="L9" s="31">
        <v>9</v>
      </c>
      <c r="M9" s="31">
        <f t="shared" si="1"/>
        <v>137.69280000000001</v>
      </c>
      <c r="N9" s="31">
        <v>9</v>
      </c>
      <c r="O9" s="31">
        <f t="shared" si="2"/>
        <v>137.69280000000001</v>
      </c>
      <c r="P9" s="31"/>
      <c r="Q9" s="31"/>
      <c r="R9" s="31">
        <f t="shared" si="4"/>
        <v>275.38560000000001</v>
      </c>
      <c r="S9" s="44"/>
      <c r="T9" s="45"/>
      <c r="U9" s="44"/>
      <c r="V9" s="44"/>
      <c r="W9" s="44"/>
      <c r="X9" s="46"/>
    </row>
    <row r="10" spans="1:24" ht="45" x14ac:dyDescent="0.25">
      <c r="A10" s="47">
        <v>46138</v>
      </c>
      <c r="B10" s="48" t="s">
        <v>42</v>
      </c>
      <c r="C10" s="49" t="s">
        <v>43</v>
      </c>
      <c r="D10" s="48" t="s">
        <v>24</v>
      </c>
      <c r="E10" s="48" t="s">
        <v>25</v>
      </c>
      <c r="F10" s="48" t="s">
        <v>31</v>
      </c>
      <c r="G10" s="50" t="s">
        <v>44</v>
      </c>
      <c r="H10" s="50">
        <v>847170</v>
      </c>
      <c r="I10" s="48">
        <v>1</v>
      </c>
      <c r="J10" s="48">
        <v>4745.76</v>
      </c>
      <c r="K10" s="48">
        <f>J10*I10</f>
        <v>4745.76</v>
      </c>
      <c r="L10" s="51">
        <v>9</v>
      </c>
      <c r="M10" s="51">
        <f t="shared" si="1"/>
        <v>427.11840000000007</v>
      </c>
      <c r="N10" s="51">
        <v>9</v>
      </c>
      <c r="O10" s="51">
        <f t="shared" si="2"/>
        <v>427.11840000000007</v>
      </c>
      <c r="P10" s="51"/>
      <c r="Q10" s="51"/>
      <c r="R10" s="51">
        <f t="shared" si="4"/>
        <v>854.23680000000013</v>
      </c>
      <c r="S10" s="51">
        <f>K10+R10</f>
        <v>5599.9968000000008</v>
      </c>
      <c r="T10" s="51"/>
      <c r="U10" s="48"/>
      <c r="V10" s="48"/>
      <c r="W10" s="48"/>
      <c r="X10" s="51">
        <v>5600</v>
      </c>
    </row>
    <row r="11" spans="1:24" ht="30" x14ac:dyDescent="0.25">
      <c r="A11" s="52">
        <v>46139</v>
      </c>
      <c r="B11" s="53" t="s">
        <v>45</v>
      </c>
      <c r="C11" s="54" t="s">
        <v>46</v>
      </c>
      <c r="D11" s="53" t="s">
        <v>24</v>
      </c>
      <c r="E11" s="53" t="s">
        <v>25</v>
      </c>
      <c r="F11" s="53" t="s">
        <v>31</v>
      </c>
      <c r="G11" s="53" t="s">
        <v>47</v>
      </c>
      <c r="H11" s="53">
        <v>85044090</v>
      </c>
      <c r="I11" s="53">
        <v>1</v>
      </c>
      <c r="J11" s="53">
        <v>1737.29</v>
      </c>
      <c r="K11" s="55">
        <f t="shared" ref="K11:K12" si="7">I11*J11</f>
        <v>1737.29</v>
      </c>
      <c r="L11" s="55">
        <v>9</v>
      </c>
      <c r="M11" s="55">
        <f t="shared" si="1"/>
        <v>156.3561</v>
      </c>
      <c r="N11" s="55">
        <v>9</v>
      </c>
      <c r="O11" s="55">
        <f t="shared" si="2"/>
        <v>156.3561</v>
      </c>
      <c r="P11" s="55"/>
      <c r="Q11" s="55"/>
      <c r="R11" s="55">
        <f>O11+M11</f>
        <v>312.7122</v>
      </c>
      <c r="S11" s="55">
        <f>K11+R11</f>
        <v>2050.0021999999999</v>
      </c>
      <c r="T11" s="55"/>
      <c r="U11" s="53"/>
      <c r="V11" s="53"/>
      <c r="W11" s="53"/>
      <c r="X11" s="55"/>
    </row>
    <row r="12" spans="1:24" ht="30" x14ac:dyDescent="0.25">
      <c r="A12" s="56">
        <v>46142</v>
      </c>
      <c r="B12" s="57" t="s">
        <v>48</v>
      </c>
      <c r="C12" s="58" t="s">
        <v>49</v>
      </c>
      <c r="D12" s="57" t="s">
        <v>24</v>
      </c>
      <c r="E12" s="57" t="s">
        <v>25</v>
      </c>
      <c r="F12" s="57" t="s">
        <v>31</v>
      </c>
      <c r="G12" s="57" t="s">
        <v>50</v>
      </c>
      <c r="H12" s="57">
        <v>8517</v>
      </c>
      <c r="I12" s="57">
        <v>1</v>
      </c>
      <c r="J12" s="57">
        <v>406.78</v>
      </c>
      <c r="K12" s="57">
        <f t="shared" si="7"/>
        <v>406.78</v>
      </c>
      <c r="L12" s="59">
        <v>9</v>
      </c>
      <c r="M12" s="59">
        <f t="shared" si="1"/>
        <v>36.610199999999992</v>
      </c>
      <c r="N12" s="59">
        <v>9</v>
      </c>
      <c r="O12" s="59">
        <f t="shared" si="2"/>
        <v>36.610199999999992</v>
      </c>
      <c r="P12" s="59"/>
      <c r="Q12" s="59"/>
      <c r="R12" s="59">
        <f>O12+M12</f>
        <v>73.220399999999984</v>
      </c>
      <c r="S12" s="59">
        <f>R12+K12</f>
        <v>480.00039999999996</v>
      </c>
      <c r="T12" s="59"/>
      <c r="U12" s="57"/>
      <c r="V12" s="57"/>
      <c r="W12" s="57"/>
      <c r="X12" s="59"/>
    </row>
    <row r="13" spans="1:24" x14ac:dyDescent="0.25">
      <c r="A13" s="60">
        <v>46144</v>
      </c>
      <c r="B13" s="61" t="s">
        <v>51</v>
      </c>
      <c r="C13" s="62" t="s">
        <v>52</v>
      </c>
      <c r="D13" s="61" t="s">
        <v>24</v>
      </c>
      <c r="E13" s="61" t="s">
        <v>25</v>
      </c>
      <c r="F13" s="61" t="s">
        <v>31</v>
      </c>
      <c r="G13" s="61" t="s">
        <v>53</v>
      </c>
      <c r="H13" s="61">
        <v>85258900</v>
      </c>
      <c r="I13" s="61">
        <v>1</v>
      </c>
      <c r="J13" s="61">
        <v>2500</v>
      </c>
      <c r="K13" s="61">
        <f>J13*I13</f>
        <v>2500</v>
      </c>
      <c r="L13" s="63">
        <v>9</v>
      </c>
      <c r="M13" s="63">
        <f>(L13*K13)/100</f>
        <v>225</v>
      </c>
      <c r="N13" s="63">
        <v>9</v>
      </c>
      <c r="O13" s="63">
        <f>(N13*K13)/100</f>
        <v>225</v>
      </c>
      <c r="P13" s="63"/>
      <c r="Q13" s="63"/>
      <c r="R13" s="63">
        <f>O13+M13</f>
        <v>450</v>
      </c>
      <c r="S13" s="63">
        <f>R13+K13</f>
        <v>2950</v>
      </c>
      <c r="T13" s="63"/>
      <c r="U13" s="61"/>
      <c r="V13" s="61"/>
      <c r="W13" s="61"/>
      <c r="X13" s="63"/>
    </row>
    <row r="14" spans="1:24" x14ac:dyDescent="0.25">
      <c r="A14" s="64">
        <v>46166</v>
      </c>
      <c r="B14" s="65" t="s">
        <v>54</v>
      </c>
      <c r="C14" s="66" t="s">
        <v>55</v>
      </c>
      <c r="D14" s="65" t="s">
        <v>24</v>
      </c>
      <c r="E14" s="65" t="s">
        <v>25</v>
      </c>
      <c r="F14" s="65" t="s">
        <v>31</v>
      </c>
      <c r="G14" s="67" t="s">
        <v>56</v>
      </c>
      <c r="H14" s="68">
        <v>84439959</v>
      </c>
      <c r="I14" s="67">
        <v>1</v>
      </c>
      <c r="J14" s="67">
        <v>230.42</v>
      </c>
      <c r="K14" s="67">
        <f>J14*I14</f>
        <v>230.42</v>
      </c>
      <c r="L14" s="69">
        <v>9</v>
      </c>
      <c r="M14" s="69">
        <f>(L14*K14)/100</f>
        <v>20.737799999999996</v>
      </c>
      <c r="N14" s="69">
        <v>9</v>
      </c>
      <c r="O14" s="69">
        <f>(N14*K14)/100</f>
        <v>20.737799999999996</v>
      </c>
      <c r="P14" s="69"/>
      <c r="Q14" s="69"/>
      <c r="R14" s="69">
        <f>O14+M14</f>
        <v>41.475599999999993</v>
      </c>
      <c r="S14" s="69">
        <f>R14+J14</f>
        <v>271.8956</v>
      </c>
      <c r="T14" s="70"/>
      <c r="U14" s="71">
        <f>S14+S15+S16</f>
        <v>699.99959999999999</v>
      </c>
      <c r="V14" s="67"/>
      <c r="W14" s="67"/>
      <c r="X14" s="69"/>
    </row>
    <row r="15" spans="1:24" x14ac:dyDescent="0.25">
      <c r="A15" s="72"/>
      <c r="B15" s="73"/>
      <c r="C15" s="74"/>
      <c r="D15" s="73"/>
      <c r="E15" s="73"/>
      <c r="F15" s="73"/>
      <c r="G15" s="67" t="s">
        <v>57</v>
      </c>
      <c r="H15" s="68">
        <v>84439959</v>
      </c>
      <c r="I15" s="75">
        <v>1</v>
      </c>
      <c r="J15" s="75">
        <v>193.31</v>
      </c>
      <c r="K15" s="67">
        <f t="shared" ref="K15:K16" si="8">J15*I15</f>
        <v>193.31</v>
      </c>
      <c r="L15" s="76">
        <v>9</v>
      </c>
      <c r="M15" s="69">
        <f t="shared" ref="M15:M16" si="9">(L15*K15)/100</f>
        <v>17.3979</v>
      </c>
      <c r="N15" s="76">
        <v>9</v>
      </c>
      <c r="O15" s="69">
        <f t="shared" ref="O15:O16" si="10">(N15*K15)/100</f>
        <v>17.3979</v>
      </c>
      <c r="P15" s="76"/>
      <c r="Q15" s="76"/>
      <c r="R15" s="69">
        <f t="shared" ref="R15:R46" si="11">O15+M15</f>
        <v>34.7958</v>
      </c>
      <c r="S15" s="69">
        <f t="shared" ref="S15:S16" si="12">R15+J15</f>
        <v>228.10579999999999</v>
      </c>
      <c r="T15" s="77"/>
      <c r="U15" s="73"/>
      <c r="V15" s="75"/>
      <c r="W15" s="75"/>
      <c r="X15" s="76"/>
    </row>
    <row r="16" spans="1:24" x14ac:dyDescent="0.25">
      <c r="A16" s="78"/>
      <c r="B16" s="79"/>
      <c r="C16" s="80"/>
      <c r="D16" s="79"/>
      <c r="E16" s="79"/>
      <c r="F16" s="79"/>
      <c r="G16" s="67" t="s">
        <v>58</v>
      </c>
      <c r="H16" s="67">
        <v>9987</v>
      </c>
      <c r="I16" s="75">
        <v>1</v>
      </c>
      <c r="J16" s="75">
        <v>169.49</v>
      </c>
      <c r="K16" s="67">
        <f t="shared" si="8"/>
        <v>169.49</v>
      </c>
      <c r="L16" s="76">
        <v>9</v>
      </c>
      <c r="M16" s="69">
        <f t="shared" si="9"/>
        <v>15.254100000000001</v>
      </c>
      <c r="N16" s="76">
        <v>9</v>
      </c>
      <c r="O16" s="69">
        <f t="shared" si="10"/>
        <v>15.254100000000001</v>
      </c>
      <c r="P16" s="76"/>
      <c r="Q16" s="76"/>
      <c r="R16" s="69">
        <f t="shared" si="11"/>
        <v>30.508200000000002</v>
      </c>
      <c r="S16" s="69">
        <f t="shared" si="12"/>
        <v>199.9982</v>
      </c>
      <c r="T16" s="81"/>
      <c r="U16" s="79"/>
      <c r="V16" s="75"/>
      <c r="W16" s="75"/>
      <c r="X16" s="76"/>
    </row>
    <row r="17" spans="1:24" ht="75" x14ac:dyDescent="0.25">
      <c r="A17" s="82">
        <v>46172</v>
      </c>
      <c r="B17" s="83" t="s">
        <v>59</v>
      </c>
      <c r="C17" s="84" t="s">
        <v>60</v>
      </c>
      <c r="D17" s="83" t="s">
        <v>61</v>
      </c>
      <c r="E17" s="83" t="s">
        <v>62</v>
      </c>
      <c r="F17" s="83" t="s">
        <v>63</v>
      </c>
      <c r="G17" s="83" t="s">
        <v>64</v>
      </c>
      <c r="H17" s="83">
        <v>85258900</v>
      </c>
      <c r="I17" s="83">
        <v>2</v>
      </c>
      <c r="J17" s="83">
        <v>1900</v>
      </c>
      <c r="K17" s="83">
        <f>J17*I17</f>
        <v>3800</v>
      </c>
      <c r="L17" s="85">
        <v>9</v>
      </c>
      <c r="M17" s="85">
        <f>(K17*L17)/100</f>
        <v>342</v>
      </c>
      <c r="N17" s="85">
        <v>9</v>
      </c>
      <c r="O17" s="85">
        <f>(N17*K17)/100</f>
        <v>342</v>
      </c>
      <c r="P17" s="85"/>
      <c r="Q17" s="85"/>
      <c r="R17" s="85">
        <f t="shared" si="11"/>
        <v>684</v>
      </c>
      <c r="S17" s="83">
        <v>3800</v>
      </c>
      <c r="T17" s="86"/>
      <c r="U17" s="87">
        <f>R17+R18+R19+S17+S18+S19</f>
        <v>5487</v>
      </c>
      <c r="V17" s="88"/>
      <c r="W17" s="89"/>
      <c r="X17" s="88"/>
    </row>
    <row r="18" spans="1:24" x14ac:dyDescent="0.25">
      <c r="A18" s="82"/>
      <c r="B18" s="83"/>
      <c r="C18" s="84"/>
      <c r="D18" s="83"/>
      <c r="E18" s="83"/>
      <c r="F18" s="83"/>
      <c r="G18" s="83" t="s">
        <v>65</v>
      </c>
      <c r="H18" s="83">
        <v>844399</v>
      </c>
      <c r="I18" s="83">
        <v>1</v>
      </c>
      <c r="J18" s="83">
        <v>350</v>
      </c>
      <c r="K18" s="83">
        <f t="shared" ref="K18:K46" si="13">J18*I18</f>
        <v>350</v>
      </c>
      <c r="L18" s="85">
        <v>9</v>
      </c>
      <c r="M18" s="85">
        <f t="shared" ref="M18:M19" si="14">(K18*L18)/100</f>
        <v>31.5</v>
      </c>
      <c r="N18" s="85">
        <v>9</v>
      </c>
      <c r="O18" s="85">
        <f t="shared" ref="O18:O46" si="15">(N18*K18)/100</f>
        <v>31.5</v>
      </c>
      <c r="P18" s="85"/>
      <c r="Q18" s="85"/>
      <c r="R18" s="85">
        <f t="shared" si="11"/>
        <v>63</v>
      </c>
      <c r="S18" s="83">
        <v>350</v>
      </c>
      <c r="T18" s="90"/>
      <c r="U18" s="91"/>
      <c r="V18" s="92"/>
      <c r="W18" s="92"/>
      <c r="X18" s="93"/>
    </row>
    <row r="19" spans="1:24" x14ac:dyDescent="0.25">
      <c r="A19" s="82"/>
      <c r="B19" s="83"/>
      <c r="C19" s="84"/>
      <c r="D19" s="83"/>
      <c r="E19" s="83"/>
      <c r="F19" s="83"/>
      <c r="G19" s="83" t="s">
        <v>66</v>
      </c>
      <c r="H19" s="83">
        <v>995461</v>
      </c>
      <c r="I19" s="83">
        <v>2</v>
      </c>
      <c r="J19" s="83">
        <v>250</v>
      </c>
      <c r="K19" s="83">
        <f t="shared" si="13"/>
        <v>500</v>
      </c>
      <c r="L19" s="85">
        <v>9</v>
      </c>
      <c r="M19" s="85">
        <f t="shared" si="14"/>
        <v>45</v>
      </c>
      <c r="N19" s="85">
        <v>9</v>
      </c>
      <c r="O19" s="85">
        <f t="shared" si="15"/>
        <v>45</v>
      </c>
      <c r="P19" s="85"/>
      <c r="Q19" s="85"/>
      <c r="R19" s="85">
        <f t="shared" si="11"/>
        <v>90</v>
      </c>
      <c r="S19" s="83">
        <v>500</v>
      </c>
      <c r="T19" s="94"/>
      <c r="U19" s="95"/>
      <c r="V19" s="96"/>
      <c r="W19" s="96"/>
      <c r="X19" s="97"/>
    </row>
    <row r="20" spans="1:24" ht="30" x14ac:dyDescent="0.25">
      <c r="A20" s="98"/>
      <c r="B20" s="98" t="s">
        <v>67</v>
      </c>
      <c r="C20" s="99" t="s">
        <v>68</v>
      </c>
      <c r="D20" s="98" t="s">
        <v>24</v>
      </c>
      <c r="E20" s="98" t="s">
        <v>25</v>
      </c>
      <c r="F20" s="98" t="s">
        <v>69</v>
      </c>
      <c r="G20" s="98" t="s">
        <v>70</v>
      </c>
      <c r="H20" s="98">
        <v>84717090</v>
      </c>
      <c r="I20" s="98">
        <v>1</v>
      </c>
      <c r="J20" s="98">
        <v>5932.2</v>
      </c>
      <c r="K20" s="98">
        <f t="shared" si="13"/>
        <v>5932.2</v>
      </c>
      <c r="L20" s="100">
        <v>9</v>
      </c>
      <c r="M20" s="100">
        <f>(L20*K20)/100</f>
        <v>533.89799999999991</v>
      </c>
      <c r="N20" s="100">
        <v>9</v>
      </c>
      <c r="O20" s="100">
        <f t="shared" si="15"/>
        <v>533.89799999999991</v>
      </c>
      <c r="P20" s="100"/>
      <c r="Q20" s="100"/>
      <c r="R20" s="100">
        <f t="shared" si="11"/>
        <v>1067.7959999999998</v>
      </c>
      <c r="S20" s="98">
        <v>5932.2</v>
      </c>
      <c r="T20" s="100"/>
      <c r="U20" s="100">
        <f>S20+R20</f>
        <v>6999.9959999999992</v>
      </c>
      <c r="V20" s="98"/>
      <c r="W20" s="98"/>
      <c r="X20" s="100"/>
    </row>
    <row r="21" spans="1:24" x14ac:dyDescent="0.25">
      <c r="A21" s="101">
        <v>46176</v>
      </c>
      <c r="B21" s="102" t="s">
        <v>71</v>
      </c>
      <c r="C21" s="102" t="s">
        <v>72</v>
      </c>
      <c r="D21" s="102" t="s">
        <v>24</v>
      </c>
      <c r="E21" s="102" t="s">
        <v>25</v>
      </c>
      <c r="F21" s="102" t="s">
        <v>73</v>
      </c>
      <c r="G21" s="103" t="s">
        <v>74</v>
      </c>
      <c r="H21" s="103">
        <v>997331</v>
      </c>
      <c r="I21" s="103">
        <v>1</v>
      </c>
      <c r="J21" s="103">
        <v>241</v>
      </c>
      <c r="K21" s="103">
        <f t="shared" si="13"/>
        <v>241</v>
      </c>
      <c r="L21" s="104">
        <v>9</v>
      </c>
      <c r="M21" s="104">
        <f>(L21*K21)/100</f>
        <v>21.69</v>
      </c>
      <c r="N21" s="104">
        <v>9</v>
      </c>
      <c r="O21" s="104">
        <f t="shared" si="15"/>
        <v>21.69</v>
      </c>
      <c r="P21" s="104"/>
      <c r="Q21" s="104"/>
      <c r="R21" s="104">
        <f t="shared" si="11"/>
        <v>43.38</v>
      </c>
      <c r="S21" s="103">
        <f>K21</f>
        <v>241</v>
      </c>
      <c r="T21" s="105"/>
      <c r="U21" s="106">
        <f>R21+R22+R23+R24+R25+R26+S21+S22+S23+S24+S25+S26</f>
        <v>10400.52</v>
      </c>
      <c r="V21" s="103"/>
      <c r="W21" s="106">
        <f>X21-U21</f>
        <v>-0.52000000000043656</v>
      </c>
      <c r="X21" s="106">
        <v>10400</v>
      </c>
    </row>
    <row r="22" spans="1:24" x14ac:dyDescent="0.25">
      <c r="A22" s="107"/>
      <c r="B22" s="107"/>
      <c r="C22" s="107"/>
      <c r="D22" s="107"/>
      <c r="E22" s="107"/>
      <c r="F22" s="107"/>
      <c r="G22" s="103" t="s">
        <v>75</v>
      </c>
      <c r="H22" s="103">
        <v>997331</v>
      </c>
      <c r="I22" s="103">
        <v>2</v>
      </c>
      <c r="J22" s="103">
        <v>220</v>
      </c>
      <c r="K22" s="103">
        <f t="shared" si="13"/>
        <v>440</v>
      </c>
      <c r="L22" s="104">
        <v>9</v>
      </c>
      <c r="M22" s="104">
        <f t="shared" ref="M22:M46" si="16">(L22*K22)/100</f>
        <v>39.6</v>
      </c>
      <c r="N22" s="104">
        <v>9</v>
      </c>
      <c r="O22" s="104">
        <f t="shared" si="15"/>
        <v>39.6</v>
      </c>
      <c r="P22" s="104"/>
      <c r="Q22" s="104"/>
      <c r="R22" s="104">
        <f t="shared" si="11"/>
        <v>79.2</v>
      </c>
      <c r="S22" s="103">
        <f t="shared" ref="S22:S34" si="17">K22</f>
        <v>440</v>
      </c>
      <c r="T22" s="108"/>
      <c r="U22" s="109"/>
      <c r="V22" s="103"/>
      <c r="W22" s="110"/>
      <c r="X22" s="109"/>
    </row>
    <row r="23" spans="1:24" x14ac:dyDescent="0.25">
      <c r="A23" s="107"/>
      <c r="B23" s="107"/>
      <c r="C23" s="107"/>
      <c r="D23" s="107"/>
      <c r="E23" s="107"/>
      <c r="F23" s="107"/>
      <c r="G23" s="103" t="s">
        <v>76</v>
      </c>
      <c r="H23" s="103">
        <v>85235100</v>
      </c>
      <c r="I23" s="103">
        <v>1</v>
      </c>
      <c r="J23" s="103">
        <v>4600</v>
      </c>
      <c r="K23" s="103">
        <f t="shared" si="13"/>
        <v>4600</v>
      </c>
      <c r="L23" s="104">
        <v>9</v>
      </c>
      <c r="M23" s="104">
        <f t="shared" si="16"/>
        <v>414</v>
      </c>
      <c r="N23" s="104">
        <v>9</v>
      </c>
      <c r="O23" s="104">
        <f t="shared" si="15"/>
        <v>414</v>
      </c>
      <c r="P23" s="104"/>
      <c r="Q23" s="104"/>
      <c r="R23" s="104">
        <f t="shared" si="11"/>
        <v>828</v>
      </c>
      <c r="S23" s="103">
        <f t="shared" si="17"/>
        <v>4600</v>
      </c>
      <c r="T23" s="108"/>
      <c r="U23" s="109"/>
      <c r="V23" s="103"/>
      <c r="W23" s="110"/>
      <c r="X23" s="109"/>
    </row>
    <row r="24" spans="1:24" x14ac:dyDescent="0.25">
      <c r="A24" s="107"/>
      <c r="B24" s="107"/>
      <c r="C24" s="107"/>
      <c r="D24" s="107"/>
      <c r="E24" s="107"/>
      <c r="F24" s="107"/>
      <c r="G24" s="103" t="s">
        <v>77</v>
      </c>
      <c r="H24" s="103">
        <v>84733099</v>
      </c>
      <c r="I24" s="103">
        <v>2</v>
      </c>
      <c r="J24" s="103">
        <v>1501</v>
      </c>
      <c r="K24" s="103">
        <f t="shared" si="13"/>
        <v>3002</v>
      </c>
      <c r="L24" s="104">
        <v>9</v>
      </c>
      <c r="M24" s="104">
        <f t="shared" si="16"/>
        <v>270.18</v>
      </c>
      <c r="N24" s="104">
        <v>9</v>
      </c>
      <c r="O24" s="104">
        <f t="shared" si="15"/>
        <v>270.18</v>
      </c>
      <c r="P24" s="104"/>
      <c r="Q24" s="104"/>
      <c r="R24" s="104">
        <f t="shared" si="11"/>
        <v>540.36</v>
      </c>
      <c r="S24" s="103">
        <f t="shared" si="17"/>
        <v>3002</v>
      </c>
      <c r="T24" s="108"/>
      <c r="U24" s="109"/>
      <c r="V24" s="103"/>
      <c r="W24" s="110"/>
      <c r="X24" s="109"/>
    </row>
    <row r="25" spans="1:24" x14ac:dyDescent="0.25">
      <c r="A25" s="107"/>
      <c r="B25" s="107"/>
      <c r="C25" s="107"/>
      <c r="D25" s="107"/>
      <c r="E25" s="107"/>
      <c r="F25" s="107"/>
      <c r="G25" s="111" t="s">
        <v>78</v>
      </c>
      <c r="H25" s="111">
        <v>997331</v>
      </c>
      <c r="I25" s="111">
        <v>1</v>
      </c>
      <c r="J25" s="111">
        <v>231</v>
      </c>
      <c r="K25" s="103">
        <f t="shared" si="13"/>
        <v>231</v>
      </c>
      <c r="L25" s="112">
        <v>9</v>
      </c>
      <c r="M25" s="104">
        <f t="shared" si="16"/>
        <v>20.79</v>
      </c>
      <c r="N25" s="112">
        <v>9</v>
      </c>
      <c r="O25" s="104">
        <f t="shared" si="15"/>
        <v>20.79</v>
      </c>
      <c r="P25" s="112"/>
      <c r="Q25" s="112"/>
      <c r="R25" s="104">
        <f t="shared" si="11"/>
        <v>41.58</v>
      </c>
      <c r="S25" s="103">
        <f t="shared" si="17"/>
        <v>231</v>
      </c>
      <c r="T25" s="108"/>
      <c r="U25" s="109"/>
      <c r="V25" s="111"/>
      <c r="W25" s="110"/>
      <c r="X25" s="109"/>
    </row>
    <row r="26" spans="1:24" x14ac:dyDescent="0.25">
      <c r="A26" s="113"/>
      <c r="B26" s="113"/>
      <c r="C26" s="113"/>
      <c r="D26" s="113"/>
      <c r="E26" s="113"/>
      <c r="F26" s="113"/>
      <c r="G26" s="111" t="s">
        <v>58</v>
      </c>
      <c r="H26" s="111">
        <v>9987</v>
      </c>
      <c r="I26" s="111">
        <v>1</v>
      </c>
      <c r="J26" s="111">
        <v>300</v>
      </c>
      <c r="K26" s="103">
        <f t="shared" si="13"/>
        <v>300</v>
      </c>
      <c r="L26" s="112">
        <v>9</v>
      </c>
      <c r="M26" s="104">
        <f t="shared" si="16"/>
        <v>27</v>
      </c>
      <c r="N26" s="112">
        <v>9</v>
      </c>
      <c r="O26" s="104">
        <f t="shared" si="15"/>
        <v>27</v>
      </c>
      <c r="P26" s="112"/>
      <c r="Q26" s="112"/>
      <c r="R26" s="104">
        <f t="shared" si="11"/>
        <v>54</v>
      </c>
      <c r="S26" s="103">
        <f t="shared" si="17"/>
        <v>300</v>
      </c>
      <c r="T26" s="114"/>
      <c r="U26" s="115"/>
      <c r="V26" s="111"/>
      <c r="W26" s="116"/>
      <c r="X26" s="115"/>
    </row>
    <row r="27" spans="1:24" x14ac:dyDescent="0.25">
      <c r="A27" s="117">
        <v>46179</v>
      </c>
      <c r="B27" s="118" t="s">
        <v>79</v>
      </c>
      <c r="C27" s="118" t="s">
        <v>80</v>
      </c>
      <c r="D27" s="118" t="s">
        <v>24</v>
      </c>
      <c r="E27" s="118" t="s">
        <v>25</v>
      </c>
      <c r="F27" s="118" t="s">
        <v>81</v>
      </c>
      <c r="G27" s="57" t="s">
        <v>39</v>
      </c>
      <c r="H27" s="57">
        <v>8523</v>
      </c>
      <c r="I27" s="57">
        <v>1</v>
      </c>
      <c r="J27" s="57">
        <v>2551.15</v>
      </c>
      <c r="K27" s="57">
        <f t="shared" si="13"/>
        <v>2551.15</v>
      </c>
      <c r="L27" s="59">
        <v>9</v>
      </c>
      <c r="M27" s="59">
        <f t="shared" si="16"/>
        <v>229.60350000000003</v>
      </c>
      <c r="N27" s="59">
        <v>9</v>
      </c>
      <c r="O27" s="59">
        <f t="shared" si="15"/>
        <v>229.60350000000003</v>
      </c>
      <c r="P27" s="59"/>
      <c r="Q27" s="59"/>
      <c r="R27" s="59">
        <f t="shared" si="11"/>
        <v>459.20700000000005</v>
      </c>
      <c r="S27" s="57">
        <f t="shared" si="17"/>
        <v>2551.15</v>
      </c>
      <c r="T27" s="119"/>
      <c r="U27" s="120">
        <f>R27+R28+R29+R30+R31+S27+S28+S29+S30+S31</f>
        <v>4000.0112000000004</v>
      </c>
      <c r="V27" s="121"/>
      <c r="W27" s="120">
        <f>X27-U27</f>
        <v>-1.1200000000371801E-2</v>
      </c>
      <c r="X27" s="120">
        <v>4000</v>
      </c>
    </row>
    <row r="28" spans="1:24" x14ac:dyDescent="0.25">
      <c r="A28" s="122"/>
      <c r="B28" s="122"/>
      <c r="C28" s="122"/>
      <c r="D28" s="122"/>
      <c r="E28" s="122"/>
      <c r="F28" s="122"/>
      <c r="G28" s="57" t="s">
        <v>82</v>
      </c>
      <c r="H28" s="57">
        <v>8471</v>
      </c>
      <c r="I28" s="57">
        <v>1</v>
      </c>
      <c r="J28" s="57">
        <v>186.43</v>
      </c>
      <c r="K28" s="57">
        <f t="shared" si="13"/>
        <v>186.43</v>
      </c>
      <c r="L28" s="59">
        <v>9</v>
      </c>
      <c r="M28" s="59">
        <f t="shared" si="16"/>
        <v>16.778700000000001</v>
      </c>
      <c r="N28" s="59">
        <v>9</v>
      </c>
      <c r="O28" s="59">
        <f t="shared" si="15"/>
        <v>16.778700000000001</v>
      </c>
      <c r="P28" s="59"/>
      <c r="Q28" s="59"/>
      <c r="R28" s="59">
        <f t="shared" si="11"/>
        <v>33.557400000000001</v>
      </c>
      <c r="S28" s="57">
        <f t="shared" si="17"/>
        <v>186.43</v>
      </c>
      <c r="T28" s="123"/>
      <c r="U28" s="124"/>
      <c r="V28" s="121"/>
      <c r="W28" s="124"/>
      <c r="X28" s="124"/>
    </row>
    <row r="29" spans="1:24" x14ac:dyDescent="0.25">
      <c r="A29" s="122"/>
      <c r="B29" s="122"/>
      <c r="C29" s="122"/>
      <c r="D29" s="122"/>
      <c r="E29" s="122"/>
      <c r="F29" s="122"/>
      <c r="G29" s="57" t="s">
        <v>83</v>
      </c>
      <c r="H29" s="57">
        <v>8517</v>
      </c>
      <c r="I29" s="57">
        <v>1</v>
      </c>
      <c r="J29" s="57">
        <v>255.12</v>
      </c>
      <c r="K29" s="57">
        <f t="shared" si="13"/>
        <v>255.12</v>
      </c>
      <c r="L29" s="59">
        <v>9</v>
      </c>
      <c r="M29" s="59">
        <f t="shared" si="16"/>
        <v>22.960799999999999</v>
      </c>
      <c r="N29" s="59">
        <v>9</v>
      </c>
      <c r="O29" s="59">
        <f t="shared" si="15"/>
        <v>22.960799999999999</v>
      </c>
      <c r="P29" s="59"/>
      <c r="Q29" s="59"/>
      <c r="R29" s="59">
        <f t="shared" si="11"/>
        <v>45.921599999999998</v>
      </c>
      <c r="S29" s="57">
        <f t="shared" si="17"/>
        <v>255.12</v>
      </c>
      <c r="T29" s="123"/>
      <c r="U29" s="124"/>
      <c r="V29" s="121"/>
      <c r="W29" s="124"/>
      <c r="X29" s="124"/>
    </row>
    <row r="30" spans="1:24" x14ac:dyDescent="0.25">
      <c r="A30" s="122"/>
      <c r="B30" s="122"/>
      <c r="C30" s="122"/>
      <c r="D30" s="122"/>
      <c r="E30" s="122"/>
      <c r="F30" s="122"/>
      <c r="G30" s="57" t="s">
        <v>84</v>
      </c>
      <c r="H30" s="57">
        <v>997331</v>
      </c>
      <c r="I30" s="57">
        <v>1</v>
      </c>
      <c r="J30" s="57">
        <v>181.78</v>
      </c>
      <c r="K30" s="57">
        <f t="shared" si="13"/>
        <v>181.78</v>
      </c>
      <c r="L30" s="59">
        <v>9</v>
      </c>
      <c r="M30" s="59">
        <f t="shared" si="16"/>
        <v>16.360199999999999</v>
      </c>
      <c r="N30" s="59">
        <v>9</v>
      </c>
      <c r="O30" s="59">
        <f t="shared" si="15"/>
        <v>16.360199999999999</v>
      </c>
      <c r="P30" s="59"/>
      <c r="Q30" s="59"/>
      <c r="R30" s="59">
        <f t="shared" si="11"/>
        <v>32.720399999999998</v>
      </c>
      <c r="S30" s="57">
        <f t="shared" si="17"/>
        <v>181.78</v>
      </c>
      <c r="T30" s="123"/>
      <c r="U30" s="124"/>
      <c r="V30" s="121"/>
      <c r="W30" s="124"/>
      <c r="X30" s="124"/>
    </row>
    <row r="31" spans="1:24" x14ac:dyDescent="0.25">
      <c r="A31" s="125"/>
      <c r="B31" s="125"/>
      <c r="C31" s="125"/>
      <c r="D31" s="125"/>
      <c r="E31" s="125"/>
      <c r="F31" s="125"/>
      <c r="G31" s="57" t="s">
        <v>75</v>
      </c>
      <c r="H31" s="57">
        <v>997331</v>
      </c>
      <c r="I31" s="57">
        <v>1</v>
      </c>
      <c r="J31" s="57">
        <v>215.36</v>
      </c>
      <c r="K31" s="57">
        <f t="shared" si="13"/>
        <v>215.36</v>
      </c>
      <c r="L31" s="59">
        <v>9</v>
      </c>
      <c r="M31" s="59">
        <f t="shared" si="16"/>
        <v>19.382400000000004</v>
      </c>
      <c r="N31" s="59">
        <v>9</v>
      </c>
      <c r="O31" s="59">
        <f t="shared" si="15"/>
        <v>19.382400000000004</v>
      </c>
      <c r="P31" s="59"/>
      <c r="Q31" s="59"/>
      <c r="R31" s="59">
        <f t="shared" si="11"/>
        <v>38.764800000000008</v>
      </c>
      <c r="S31" s="57">
        <f t="shared" si="17"/>
        <v>215.36</v>
      </c>
      <c r="T31" s="123"/>
      <c r="U31" s="124"/>
      <c r="V31" s="126"/>
      <c r="W31" s="124"/>
      <c r="X31" s="124"/>
    </row>
    <row r="32" spans="1:24" ht="30" x14ac:dyDescent="0.25">
      <c r="A32" s="127">
        <v>46181</v>
      </c>
      <c r="B32" s="128" t="s">
        <v>85</v>
      </c>
      <c r="C32" s="129" t="s">
        <v>86</v>
      </c>
      <c r="D32" s="128" t="s">
        <v>24</v>
      </c>
      <c r="E32" s="128" t="s">
        <v>25</v>
      </c>
      <c r="F32" s="128" t="s">
        <v>87</v>
      </c>
      <c r="G32" s="128" t="s">
        <v>88</v>
      </c>
      <c r="H32" s="128">
        <v>997331</v>
      </c>
      <c r="I32" s="128">
        <v>1</v>
      </c>
      <c r="J32" s="128">
        <v>169.49</v>
      </c>
      <c r="K32" s="128">
        <f t="shared" si="13"/>
        <v>169.49</v>
      </c>
      <c r="L32" s="130">
        <v>9</v>
      </c>
      <c r="M32" s="130">
        <f t="shared" si="16"/>
        <v>15.254100000000001</v>
      </c>
      <c r="N32" s="130">
        <v>9</v>
      </c>
      <c r="O32" s="130">
        <f t="shared" si="15"/>
        <v>15.254100000000001</v>
      </c>
      <c r="P32" s="130"/>
      <c r="Q32" s="130"/>
      <c r="R32" s="130">
        <f t="shared" si="11"/>
        <v>30.508200000000002</v>
      </c>
      <c r="S32" s="128">
        <f t="shared" si="17"/>
        <v>169.49</v>
      </c>
      <c r="T32" s="130"/>
      <c r="U32" s="130">
        <f>S32+R32</f>
        <v>199.9982</v>
      </c>
      <c r="V32" s="128"/>
      <c r="W32" s="131"/>
      <c r="X32" s="130"/>
    </row>
    <row r="33" spans="1:24" x14ac:dyDescent="0.25">
      <c r="A33" s="132">
        <v>46187</v>
      </c>
      <c r="B33" s="133" t="s">
        <v>89</v>
      </c>
      <c r="C33" s="134" t="s">
        <v>90</v>
      </c>
      <c r="D33" s="135" t="s">
        <v>24</v>
      </c>
      <c r="E33" s="135" t="s">
        <v>25</v>
      </c>
      <c r="F33" s="135" t="s">
        <v>31</v>
      </c>
      <c r="G33" s="61" t="s">
        <v>91</v>
      </c>
      <c r="H33" s="61">
        <v>997331</v>
      </c>
      <c r="I33" s="61">
        <v>1</v>
      </c>
      <c r="J33" s="61">
        <v>180</v>
      </c>
      <c r="K33" s="61">
        <f t="shared" si="13"/>
        <v>180</v>
      </c>
      <c r="L33" s="63">
        <v>9</v>
      </c>
      <c r="M33" s="63">
        <f t="shared" si="16"/>
        <v>16.2</v>
      </c>
      <c r="N33" s="63">
        <v>9</v>
      </c>
      <c r="O33" s="63">
        <f t="shared" si="15"/>
        <v>16.2</v>
      </c>
      <c r="P33" s="63"/>
      <c r="Q33" s="63"/>
      <c r="R33" s="63">
        <f t="shared" si="11"/>
        <v>32.4</v>
      </c>
      <c r="S33" s="61">
        <f t="shared" si="17"/>
        <v>180</v>
      </c>
      <c r="T33" s="136"/>
      <c r="U33" s="137">
        <f>R33+R34+R35+S33+S34+S35</f>
        <v>775.4</v>
      </c>
      <c r="V33" s="61"/>
      <c r="W33" s="137">
        <f>X33-U33</f>
        <v>-0.39999999999997726</v>
      </c>
      <c r="X33" s="137">
        <v>775</v>
      </c>
    </row>
    <row r="34" spans="1:24" x14ac:dyDescent="0.25">
      <c r="A34" s="138"/>
      <c r="B34" s="138"/>
      <c r="C34" s="139"/>
      <c r="D34" s="140"/>
      <c r="E34" s="140"/>
      <c r="F34" s="140"/>
      <c r="G34" s="61" t="s">
        <v>75</v>
      </c>
      <c r="H34" s="61">
        <v>997331</v>
      </c>
      <c r="I34" s="61">
        <v>1</v>
      </c>
      <c r="J34" s="61">
        <v>200</v>
      </c>
      <c r="K34" s="61">
        <f t="shared" si="13"/>
        <v>200</v>
      </c>
      <c r="L34" s="63">
        <v>9</v>
      </c>
      <c r="M34" s="63">
        <f t="shared" si="16"/>
        <v>18</v>
      </c>
      <c r="N34" s="63">
        <v>9</v>
      </c>
      <c r="O34" s="63">
        <f t="shared" si="15"/>
        <v>18</v>
      </c>
      <c r="P34" s="63"/>
      <c r="Q34" s="63"/>
      <c r="R34" s="63">
        <f t="shared" si="11"/>
        <v>36</v>
      </c>
      <c r="S34" s="61">
        <f t="shared" si="17"/>
        <v>200</v>
      </c>
      <c r="T34" s="141"/>
      <c r="U34" s="142"/>
      <c r="V34" s="61"/>
      <c r="W34" s="138"/>
      <c r="X34" s="142"/>
    </row>
    <row r="35" spans="1:24" x14ac:dyDescent="0.25">
      <c r="A35" s="143"/>
      <c r="B35" s="143"/>
      <c r="C35" s="144"/>
      <c r="D35" s="145"/>
      <c r="E35" s="145"/>
      <c r="F35" s="145"/>
      <c r="G35" s="61" t="s">
        <v>58</v>
      </c>
      <c r="H35" s="61">
        <v>9987</v>
      </c>
      <c r="I35" s="61">
        <v>1</v>
      </c>
      <c r="J35" s="61">
        <v>150</v>
      </c>
      <c r="K35" s="61">
        <f t="shared" si="13"/>
        <v>150</v>
      </c>
      <c r="L35" s="63">
        <v>9</v>
      </c>
      <c r="M35" s="63">
        <f t="shared" si="16"/>
        <v>13.5</v>
      </c>
      <c r="N35" s="63">
        <v>9</v>
      </c>
      <c r="O35" s="63">
        <f t="shared" si="15"/>
        <v>13.5</v>
      </c>
      <c r="P35" s="63"/>
      <c r="Q35" s="63"/>
      <c r="R35" s="63">
        <f t="shared" si="11"/>
        <v>27</v>
      </c>
      <c r="S35" s="61">
        <v>300</v>
      </c>
      <c r="T35" s="146"/>
      <c r="U35" s="147"/>
      <c r="V35" s="61"/>
      <c r="W35" s="143"/>
      <c r="X35" s="147"/>
    </row>
    <row r="36" spans="1:24" ht="30" x14ac:dyDescent="0.25">
      <c r="A36" s="21">
        <v>46188</v>
      </c>
      <c r="B36" s="22" t="s">
        <v>92</v>
      </c>
      <c r="C36" s="23" t="s">
        <v>93</v>
      </c>
      <c r="D36" s="22" t="s">
        <v>24</v>
      </c>
      <c r="E36" s="22" t="s">
        <v>25</v>
      </c>
      <c r="F36" s="22" t="s">
        <v>94</v>
      </c>
      <c r="G36" s="22" t="s">
        <v>95</v>
      </c>
      <c r="H36" s="22">
        <v>85176290</v>
      </c>
      <c r="I36" s="22">
        <v>1</v>
      </c>
      <c r="J36" s="22">
        <v>1355.93</v>
      </c>
      <c r="K36" s="22">
        <f t="shared" si="13"/>
        <v>1355.93</v>
      </c>
      <c r="L36" s="24">
        <v>9</v>
      </c>
      <c r="M36" s="24">
        <f t="shared" si="16"/>
        <v>122.03370000000001</v>
      </c>
      <c r="N36" s="24">
        <v>9</v>
      </c>
      <c r="O36" s="24">
        <f t="shared" si="15"/>
        <v>122.03370000000001</v>
      </c>
      <c r="P36" s="24"/>
      <c r="Q36" s="24"/>
      <c r="R36" s="24">
        <f t="shared" si="11"/>
        <v>244.06740000000002</v>
      </c>
      <c r="S36" s="22">
        <f>K36</f>
        <v>1355.93</v>
      </c>
      <c r="T36" s="24"/>
      <c r="U36" s="24">
        <f>S36+R36</f>
        <v>1599.9974000000002</v>
      </c>
      <c r="V36" s="22"/>
      <c r="W36" s="22"/>
      <c r="X36" s="24"/>
    </row>
    <row r="37" spans="1:24" x14ac:dyDescent="0.25">
      <c r="A37" s="148">
        <v>46200</v>
      </c>
      <c r="B37" s="149" t="s">
        <v>96</v>
      </c>
      <c r="C37" s="150" t="s">
        <v>97</v>
      </c>
      <c r="D37" s="149" t="s">
        <v>24</v>
      </c>
      <c r="E37" s="149" t="s">
        <v>25</v>
      </c>
      <c r="F37" s="149" t="s">
        <v>73</v>
      </c>
      <c r="G37" s="151" t="s">
        <v>98</v>
      </c>
      <c r="H37" s="151">
        <v>8523</v>
      </c>
      <c r="I37" s="151">
        <v>1</v>
      </c>
      <c r="J37" s="151">
        <v>2520.37</v>
      </c>
      <c r="K37" s="151">
        <f>J37*I37</f>
        <v>2520.37</v>
      </c>
      <c r="L37" s="152">
        <v>9</v>
      </c>
      <c r="M37" s="152">
        <f t="shared" si="16"/>
        <v>226.83329999999998</v>
      </c>
      <c r="N37" s="152">
        <v>9</v>
      </c>
      <c r="O37" s="152">
        <f t="shared" si="15"/>
        <v>226.83329999999998</v>
      </c>
      <c r="P37" s="152"/>
      <c r="Q37" s="152"/>
      <c r="R37" s="152">
        <f t="shared" si="11"/>
        <v>453.66659999999996</v>
      </c>
      <c r="S37" s="151">
        <f>K37</f>
        <v>2520.37</v>
      </c>
      <c r="T37" s="152">
        <f>R37+S37</f>
        <v>2974.0365999999999</v>
      </c>
      <c r="U37" s="153">
        <f>T37+T38+T39+T40+R41+S41</f>
        <v>6400.0014000000001</v>
      </c>
      <c r="V37" s="151"/>
      <c r="W37" s="151"/>
      <c r="X37" s="152"/>
    </row>
    <row r="38" spans="1:24" x14ac:dyDescent="0.25">
      <c r="A38" s="154"/>
      <c r="B38" s="155"/>
      <c r="C38" s="156"/>
      <c r="D38" s="155"/>
      <c r="E38" s="155"/>
      <c r="F38" s="155"/>
      <c r="G38" s="151" t="s">
        <v>99</v>
      </c>
      <c r="H38" s="151">
        <v>8471</v>
      </c>
      <c r="I38" s="151">
        <v>1</v>
      </c>
      <c r="J38" s="151">
        <v>65</v>
      </c>
      <c r="K38" s="151">
        <f t="shared" si="13"/>
        <v>65</v>
      </c>
      <c r="L38" s="152">
        <v>9</v>
      </c>
      <c r="M38" s="152">
        <f t="shared" si="16"/>
        <v>5.85</v>
      </c>
      <c r="N38" s="152">
        <v>9</v>
      </c>
      <c r="O38" s="152">
        <f t="shared" si="15"/>
        <v>5.85</v>
      </c>
      <c r="P38" s="152"/>
      <c r="Q38" s="152"/>
      <c r="R38" s="152">
        <f t="shared" si="11"/>
        <v>11.7</v>
      </c>
      <c r="S38" s="151">
        <f>K38</f>
        <v>65</v>
      </c>
      <c r="T38" s="152">
        <f t="shared" ref="T38:T46" si="18">R38+S38</f>
        <v>76.7</v>
      </c>
      <c r="U38" s="157"/>
      <c r="V38" s="151"/>
      <c r="W38" s="151"/>
      <c r="X38" s="152"/>
    </row>
    <row r="39" spans="1:24" x14ac:dyDescent="0.25">
      <c r="A39" s="154"/>
      <c r="B39" s="155"/>
      <c r="C39" s="156"/>
      <c r="D39" s="155"/>
      <c r="E39" s="155"/>
      <c r="F39" s="155"/>
      <c r="G39" s="151" t="s">
        <v>84</v>
      </c>
      <c r="H39" s="151">
        <v>997331</v>
      </c>
      <c r="I39" s="151">
        <v>1</v>
      </c>
      <c r="J39" s="151">
        <v>590.22</v>
      </c>
      <c r="K39" s="151">
        <f t="shared" si="13"/>
        <v>590.22</v>
      </c>
      <c r="L39" s="152">
        <v>9</v>
      </c>
      <c r="M39" s="152">
        <f t="shared" si="16"/>
        <v>53.119800000000005</v>
      </c>
      <c r="N39" s="152">
        <v>9</v>
      </c>
      <c r="O39" s="152">
        <f t="shared" si="15"/>
        <v>53.119800000000005</v>
      </c>
      <c r="P39" s="152"/>
      <c r="Q39" s="152"/>
      <c r="R39" s="152">
        <f t="shared" si="11"/>
        <v>106.23960000000001</v>
      </c>
      <c r="S39" s="151">
        <f t="shared" ref="S39:S46" si="19">K39</f>
        <v>590.22</v>
      </c>
      <c r="T39" s="152">
        <f t="shared" si="18"/>
        <v>696.45960000000002</v>
      </c>
      <c r="U39" s="157"/>
      <c r="V39" s="151"/>
      <c r="W39" s="151"/>
      <c r="X39" s="152"/>
    </row>
    <row r="40" spans="1:24" x14ac:dyDescent="0.25">
      <c r="A40" s="154"/>
      <c r="B40" s="155"/>
      <c r="C40" s="156"/>
      <c r="D40" s="155"/>
      <c r="E40" s="155"/>
      <c r="F40" s="155"/>
      <c r="G40" s="151" t="s">
        <v>75</v>
      </c>
      <c r="H40" s="151">
        <v>997331</v>
      </c>
      <c r="I40" s="151">
        <v>1</v>
      </c>
      <c r="J40" s="151">
        <v>637.97</v>
      </c>
      <c r="K40" s="151">
        <f t="shared" si="13"/>
        <v>637.97</v>
      </c>
      <c r="L40" s="152">
        <v>9</v>
      </c>
      <c r="M40" s="152">
        <f t="shared" si="16"/>
        <v>57.417300000000004</v>
      </c>
      <c r="N40" s="152">
        <v>9</v>
      </c>
      <c r="O40" s="152">
        <f t="shared" si="15"/>
        <v>57.417300000000004</v>
      </c>
      <c r="P40" s="152"/>
      <c r="Q40" s="152"/>
      <c r="R40" s="152">
        <f t="shared" si="11"/>
        <v>114.83460000000001</v>
      </c>
      <c r="S40" s="151">
        <f t="shared" si="19"/>
        <v>637.97</v>
      </c>
      <c r="T40" s="152">
        <f t="shared" si="18"/>
        <v>752.80460000000005</v>
      </c>
      <c r="U40" s="157"/>
      <c r="V40" s="151"/>
      <c r="W40" s="151"/>
      <c r="X40" s="152"/>
    </row>
    <row r="41" spans="1:24" x14ac:dyDescent="0.25">
      <c r="A41" s="158"/>
      <c r="B41" s="159"/>
      <c r="C41" s="160"/>
      <c r="D41" s="159"/>
      <c r="E41" s="159"/>
      <c r="F41" s="159"/>
      <c r="G41" s="151" t="s">
        <v>100</v>
      </c>
      <c r="H41" s="151">
        <v>8473309</v>
      </c>
      <c r="I41" s="151">
        <v>1</v>
      </c>
      <c r="J41" s="151">
        <v>1610.17</v>
      </c>
      <c r="K41" s="151">
        <f t="shared" si="13"/>
        <v>1610.17</v>
      </c>
      <c r="L41" s="152">
        <v>9</v>
      </c>
      <c r="M41" s="152">
        <f t="shared" si="16"/>
        <v>144.9153</v>
      </c>
      <c r="N41" s="152">
        <v>9</v>
      </c>
      <c r="O41" s="152">
        <f t="shared" si="15"/>
        <v>144.9153</v>
      </c>
      <c r="P41" s="152"/>
      <c r="Q41" s="152"/>
      <c r="R41" s="152">
        <f t="shared" si="11"/>
        <v>289.8306</v>
      </c>
      <c r="S41" s="151">
        <f t="shared" si="19"/>
        <v>1610.17</v>
      </c>
      <c r="T41" s="152">
        <f t="shared" si="18"/>
        <v>1900.0006000000001</v>
      </c>
      <c r="U41" s="161"/>
      <c r="V41" s="151"/>
      <c r="W41" s="151"/>
      <c r="X41" s="152"/>
    </row>
    <row r="42" spans="1:24" x14ac:dyDescent="0.25">
      <c r="A42" s="162">
        <v>46201</v>
      </c>
      <c r="B42" s="163" t="s">
        <v>101</v>
      </c>
      <c r="C42" s="164" t="s">
        <v>102</v>
      </c>
      <c r="D42" s="163" t="s">
        <v>24</v>
      </c>
      <c r="E42" s="163" t="s">
        <v>25</v>
      </c>
      <c r="F42" s="163" t="s">
        <v>73</v>
      </c>
      <c r="G42" s="165" t="s">
        <v>50</v>
      </c>
      <c r="H42" s="165">
        <v>8517</v>
      </c>
      <c r="I42" s="165">
        <v>1</v>
      </c>
      <c r="J42" s="165">
        <v>255.61</v>
      </c>
      <c r="K42" s="165">
        <f t="shared" si="13"/>
        <v>255.61</v>
      </c>
      <c r="L42" s="166">
        <v>9</v>
      </c>
      <c r="M42" s="166">
        <f t="shared" si="16"/>
        <v>23.004900000000003</v>
      </c>
      <c r="N42" s="166">
        <v>9</v>
      </c>
      <c r="O42" s="166">
        <f t="shared" si="15"/>
        <v>23.004900000000003</v>
      </c>
      <c r="P42" s="166"/>
      <c r="Q42" s="166"/>
      <c r="R42" s="166">
        <f t="shared" si="11"/>
        <v>46.009800000000006</v>
      </c>
      <c r="S42" s="165">
        <f t="shared" si="19"/>
        <v>255.61</v>
      </c>
      <c r="T42" s="166">
        <f t="shared" si="18"/>
        <v>301.6198</v>
      </c>
      <c r="U42" s="163">
        <f>T42+T43+T44+T45</f>
        <v>5353.7780000000002</v>
      </c>
      <c r="V42" s="165"/>
      <c r="W42" s="167">
        <f>X42-U42</f>
        <v>0.22199999999975262</v>
      </c>
      <c r="X42" s="167">
        <v>5354</v>
      </c>
    </row>
    <row r="43" spans="1:24" x14ac:dyDescent="0.25">
      <c r="A43" s="168"/>
      <c r="B43" s="169"/>
      <c r="C43" s="170"/>
      <c r="D43" s="169"/>
      <c r="E43" s="169"/>
      <c r="F43" s="169"/>
      <c r="G43" s="165" t="s">
        <v>103</v>
      </c>
      <c r="H43" s="165">
        <v>84733099</v>
      </c>
      <c r="I43" s="165">
        <v>1</v>
      </c>
      <c r="J43" s="165">
        <v>373.58</v>
      </c>
      <c r="K43" s="165">
        <f t="shared" si="13"/>
        <v>373.58</v>
      </c>
      <c r="L43" s="166">
        <v>9</v>
      </c>
      <c r="M43" s="166">
        <f t="shared" si="16"/>
        <v>33.622199999999999</v>
      </c>
      <c r="N43" s="166">
        <v>9</v>
      </c>
      <c r="O43" s="166">
        <f t="shared" si="15"/>
        <v>33.622199999999999</v>
      </c>
      <c r="P43" s="166"/>
      <c r="Q43" s="166"/>
      <c r="R43" s="166">
        <f t="shared" si="11"/>
        <v>67.244399999999999</v>
      </c>
      <c r="S43" s="165">
        <f t="shared" si="19"/>
        <v>373.58</v>
      </c>
      <c r="T43" s="166">
        <f t="shared" si="18"/>
        <v>440.82439999999997</v>
      </c>
      <c r="U43" s="169"/>
      <c r="V43" s="165"/>
      <c r="W43" s="171"/>
      <c r="X43" s="171"/>
    </row>
    <row r="44" spans="1:24" x14ac:dyDescent="0.25">
      <c r="A44" s="168"/>
      <c r="B44" s="169"/>
      <c r="C44" s="170"/>
      <c r="D44" s="169"/>
      <c r="E44" s="169"/>
      <c r="F44" s="169"/>
      <c r="G44" s="165" t="s">
        <v>104</v>
      </c>
      <c r="H44" s="165">
        <v>84733099</v>
      </c>
      <c r="I44" s="165">
        <v>1</v>
      </c>
      <c r="J44" s="165">
        <v>1376.37</v>
      </c>
      <c r="K44" s="165">
        <f t="shared" si="13"/>
        <v>1376.37</v>
      </c>
      <c r="L44" s="166">
        <v>9</v>
      </c>
      <c r="M44" s="166">
        <f t="shared" si="16"/>
        <v>123.87329999999999</v>
      </c>
      <c r="N44" s="166">
        <v>9</v>
      </c>
      <c r="O44" s="166">
        <f t="shared" si="15"/>
        <v>123.87329999999999</v>
      </c>
      <c r="P44" s="166"/>
      <c r="Q44" s="166"/>
      <c r="R44" s="166">
        <f t="shared" si="11"/>
        <v>247.74659999999997</v>
      </c>
      <c r="S44" s="165">
        <f t="shared" si="19"/>
        <v>1376.37</v>
      </c>
      <c r="T44" s="166">
        <f t="shared" si="18"/>
        <v>1624.1165999999998</v>
      </c>
      <c r="U44" s="169"/>
      <c r="V44" s="165"/>
      <c r="W44" s="171"/>
      <c r="X44" s="171"/>
    </row>
    <row r="45" spans="1:24" x14ac:dyDescent="0.25">
      <c r="A45" s="168"/>
      <c r="B45" s="169"/>
      <c r="C45" s="170"/>
      <c r="D45" s="169"/>
      <c r="E45" s="169"/>
      <c r="F45" s="169"/>
      <c r="G45" s="172" t="s">
        <v>105</v>
      </c>
      <c r="H45" s="172">
        <v>8523</v>
      </c>
      <c r="I45" s="172">
        <v>1</v>
      </c>
      <c r="J45" s="172">
        <v>2531.54</v>
      </c>
      <c r="K45" s="172">
        <f t="shared" si="13"/>
        <v>2531.54</v>
      </c>
      <c r="L45" s="173">
        <v>9</v>
      </c>
      <c r="M45" s="173">
        <f t="shared" si="16"/>
        <v>227.83860000000001</v>
      </c>
      <c r="N45" s="173">
        <v>9</v>
      </c>
      <c r="O45" s="173">
        <f t="shared" si="15"/>
        <v>227.83860000000001</v>
      </c>
      <c r="P45" s="173"/>
      <c r="Q45" s="173"/>
      <c r="R45" s="173">
        <f t="shared" si="11"/>
        <v>455.67720000000003</v>
      </c>
      <c r="S45" s="172">
        <f t="shared" si="19"/>
        <v>2531.54</v>
      </c>
      <c r="T45" s="173">
        <f t="shared" si="18"/>
        <v>2987.2172</v>
      </c>
      <c r="U45" s="169"/>
      <c r="V45" s="172"/>
      <c r="W45" s="171"/>
      <c r="X45" s="171"/>
    </row>
    <row r="46" spans="1:24" ht="30" x14ac:dyDescent="0.25">
      <c r="A46" s="174">
        <v>46201</v>
      </c>
      <c r="B46" s="175" t="s">
        <v>106</v>
      </c>
      <c r="C46" s="176" t="s">
        <v>107</v>
      </c>
      <c r="D46" s="175" t="s">
        <v>24</v>
      </c>
      <c r="E46" s="175" t="s">
        <v>25</v>
      </c>
      <c r="F46" s="175" t="s">
        <v>108</v>
      </c>
      <c r="G46" s="175" t="s">
        <v>109</v>
      </c>
      <c r="H46" s="175">
        <v>84717020</v>
      </c>
      <c r="I46" s="175">
        <v>1</v>
      </c>
      <c r="J46" s="175">
        <v>1949.16</v>
      </c>
      <c r="K46" s="175">
        <f t="shared" si="13"/>
        <v>1949.16</v>
      </c>
      <c r="L46" s="177">
        <v>9</v>
      </c>
      <c r="M46" s="177">
        <f t="shared" si="16"/>
        <v>175.42440000000002</v>
      </c>
      <c r="N46" s="177">
        <v>9</v>
      </c>
      <c r="O46" s="177">
        <f t="shared" si="15"/>
        <v>175.42440000000002</v>
      </c>
      <c r="P46" s="177"/>
      <c r="Q46" s="177"/>
      <c r="R46" s="177">
        <f t="shared" si="11"/>
        <v>350.84880000000004</v>
      </c>
      <c r="S46" s="175">
        <f t="shared" si="19"/>
        <v>1949.16</v>
      </c>
      <c r="T46" s="177">
        <f t="shared" si="18"/>
        <v>2300.0088000000001</v>
      </c>
      <c r="U46" s="177">
        <f>T46</f>
        <v>2300.0088000000001</v>
      </c>
      <c r="V46" s="175"/>
      <c r="W46" s="177">
        <f>X46-U46</f>
        <v>-8.800000000064756E-3</v>
      </c>
      <c r="X46" s="177">
        <v>2300</v>
      </c>
    </row>
    <row r="47" spans="1:24" x14ac:dyDescent="0.25">
      <c r="A47" s="178">
        <v>46201</v>
      </c>
      <c r="B47" s="9" t="s">
        <v>110</v>
      </c>
      <c r="C47" s="179"/>
      <c r="D47" s="9"/>
      <c r="E47" s="9"/>
      <c r="F47" s="9"/>
      <c r="G47" s="9"/>
      <c r="H47" s="9"/>
      <c r="I47" s="9"/>
      <c r="J47" s="9"/>
      <c r="K47" s="9"/>
      <c r="L47" s="10"/>
      <c r="M47" s="10"/>
      <c r="N47" s="10"/>
      <c r="O47" s="10"/>
      <c r="P47" s="10"/>
      <c r="Q47" s="10"/>
      <c r="R47" s="10"/>
      <c r="S47" s="9"/>
      <c r="T47" s="10"/>
      <c r="U47" s="9"/>
      <c r="V47" s="9"/>
      <c r="W47" s="9"/>
      <c r="X47" s="10"/>
    </row>
    <row r="48" spans="1:24" x14ac:dyDescent="0.25">
      <c r="A48" s="180">
        <v>46202</v>
      </c>
      <c r="B48" s="181" t="s">
        <v>111</v>
      </c>
      <c r="C48" s="182"/>
      <c r="D48" s="181"/>
      <c r="E48" s="181"/>
      <c r="F48" s="181"/>
      <c r="G48" s="181"/>
      <c r="H48" s="181"/>
      <c r="I48" s="181"/>
      <c r="J48" s="181"/>
      <c r="K48" s="181"/>
      <c r="L48" s="183"/>
      <c r="M48" s="183"/>
      <c r="N48" s="183"/>
      <c r="O48" s="183"/>
      <c r="P48" s="183"/>
      <c r="Q48" s="183"/>
      <c r="R48" s="183"/>
      <c r="S48" s="181"/>
      <c r="T48" s="183"/>
      <c r="U48" s="181"/>
      <c r="V48" s="181"/>
      <c r="W48" s="181"/>
      <c r="X48" s="183"/>
    </row>
    <row r="49" spans="1:24" x14ac:dyDescent="0.25">
      <c r="A49" s="60">
        <v>46202</v>
      </c>
      <c r="B49" s="61" t="s">
        <v>112</v>
      </c>
      <c r="C49" s="62"/>
      <c r="D49" s="61"/>
      <c r="E49" s="61"/>
      <c r="F49" s="61"/>
      <c r="G49" s="61"/>
      <c r="H49" s="61"/>
      <c r="I49" s="61"/>
      <c r="J49" s="61"/>
      <c r="K49" s="61"/>
      <c r="L49" s="63"/>
      <c r="M49" s="63"/>
      <c r="N49" s="63"/>
      <c r="O49" s="63"/>
      <c r="P49" s="63"/>
      <c r="Q49" s="63"/>
      <c r="R49" s="63"/>
      <c r="S49" s="61"/>
      <c r="T49" s="63"/>
      <c r="U49" s="61"/>
      <c r="V49" s="61"/>
      <c r="W49" s="61"/>
      <c r="X49" s="63"/>
    </row>
    <row r="50" spans="1:24" x14ac:dyDescent="0.25">
      <c r="A50" s="184">
        <v>46202</v>
      </c>
      <c r="B50" s="185" t="s">
        <v>113</v>
      </c>
      <c r="C50" s="186"/>
      <c r="D50" s="185"/>
      <c r="E50" s="185"/>
      <c r="F50" s="185"/>
      <c r="G50" s="185"/>
      <c r="H50" s="185"/>
      <c r="I50" s="185"/>
      <c r="J50" s="185"/>
      <c r="K50" s="185"/>
      <c r="L50" s="187"/>
      <c r="M50" s="187"/>
      <c r="N50" s="187"/>
      <c r="O50" s="187"/>
      <c r="P50" s="187"/>
      <c r="Q50" s="187"/>
      <c r="R50" s="187"/>
      <c r="S50" s="185"/>
      <c r="T50" s="187"/>
      <c r="U50" s="185"/>
      <c r="V50" s="185"/>
      <c r="W50" s="185"/>
      <c r="X50" s="187"/>
    </row>
  </sheetData>
  <mergeCells count="77">
    <mergeCell ref="U42:U45"/>
    <mergeCell ref="W42:W45"/>
    <mergeCell ref="X42:X45"/>
    <mergeCell ref="A42:A45"/>
    <mergeCell ref="B42:B45"/>
    <mergeCell ref="C42:C45"/>
    <mergeCell ref="D42:D45"/>
    <mergeCell ref="E42:E45"/>
    <mergeCell ref="F42:F45"/>
    <mergeCell ref="X33:X35"/>
    <mergeCell ref="A37:A41"/>
    <mergeCell ref="B37:B41"/>
    <mergeCell ref="C37:C41"/>
    <mergeCell ref="D37:D41"/>
    <mergeCell ref="E37:E41"/>
    <mergeCell ref="F37:F41"/>
    <mergeCell ref="U37:U41"/>
    <mergeCell ref="W27:W31"/>
    <mergeCell ref="X27:X31"/>
    <mergeCell ref="A33:A35"/>
    <mergeCell ref="B33:B35"/>
    <mergeCell ref="C33:C35"/>
    <mergeCell ref="D33:D35"/>
    <mergeCell ref="E33:E35"/>
    <mergeCell ref="F33:F35"/>
    <mergeCell ref="U33:U35"/>
    <mergeCell ref="W33:W35"/>
    <mergeCell ref="U21:U26"/>
    <mergeCell ref="W21:W26"/>
    <mergeCell ref="X21:X26"/>
    <mergeCell ref="A27:A31"/>
    <mergeCell ref="B27:B31"/>
    <mergeCell ref="C27:C31"/>
    <mergeCell ref="D27:D31"/>
    <mergeCell ref="E27:E31"/>
    <mergeCell ref="F27:F31"/>
    <mergeCell ref="U27:U31"/>
    <mergeCell ref="A21:A26"/>
    <mergeCell ref="B21:B26"/>
    <mergeCell ref="C21:C26"/>
    <mergeCell ref="D21:D26"/>
    <mergeCell ref="E21:E26"/>
    <mergeCell ref="F21:F26"/>
    <mergeCell ref="F14:F16"/>
    <mergeCell ref="U14:U16"/>
    <mergeCell ref="U17:U19"/>
    <mergeCell ref="V17:V19"/>
    <mergeCell ref="W17:W19"/>
    <mergeCell ref="X17:X19"/>
    <mergeCell ref="S7:S9"/>
    <mergeCell ref="U7:U9"/>
    <mergeCell ref="V7:V9"/>
    <mergeCell ref="W7:W9"/>
    <mergeCell ref="X7:X9"/>
    <mergeCell ref="A14:A16"/>
    <mergeCell ref="B14:B16"/>
    <mergeCell ref="C14:C16"/>
    <mergeCell ref="D14:D16"/>
    <mergeCell ref="E14:E16"/>
    <mergeCell ref="A7:A9"/>
    <mergeCell ref="B7:B9"/>
    <mergeCell ref="C7:C9"/>
    <mergeCell ref="D7:D9"/>
    <mergeCell ref="E7:E9"/>
    <mergeCell ref="F7:F9"/>
    <mergeCell ref="X2:X3"/>
    <mergeCell ref="B4:B5"/>
    <mergeCell ref="C4:C5"/>
    <mergeCell ref="D4:D5"/>
    <mergeCell ref="E4:E5"/>
    <mergeCell ref="F4:F5"/>
    <mergeCell ref="B2:B3"/>
    <mergeCell ref="C2:C3"/>
    <mergeCell ref="D2:D3"/>
    <mergeCell ref="E2:E3"/>
    <mergeCell ref="F2:F3"/>
    <mergeCell ref="U2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</dc:creator>
  <cp:lastModifiedBy>PIP</cp:lastModifiedBy>
  <dcterms:created xsi:type="dcterms:W3CDTF">2026-07-19T05:52:30Z</dcterms:created>
  <dcterms:modified xsi:type="dcterms:W3CDTF">2026-07-19T05:53:14Z</dcterms:modified>
</cp:coreProperties>
</file>