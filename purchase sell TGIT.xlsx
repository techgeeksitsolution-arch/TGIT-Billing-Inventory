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D9C20EE-6723-43E8-A4E5-CAD63C85ED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rchase" sheetId="1" r:id="rId1"/>
  </sheets>
  <definedNames>
    <definedName name="_xlnm._FilterDatabase" localSheetId="0" hidden="1">Purchase!$B$1:$AV$56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8" i="1" l="1"/>
  <c r="N38" i="1" s="1"/>
  <c r="R37" i="1"/>
  <c r="P37" i="1"/>
  <c r="L37" i="1"/>
  <c r="N37" i="1" s="1"/>
  <c r="L55" i="1"/>
  <c r="R55" i="1" s="1"/>
  <c r="S55" i="1" s="1"/>
  <c r="U55" i="1" s="1"/>
  <c r="L54" i="1"/>
  <c r="R54" i="1" s="1"/>
  <c r="S54" i="1" s="1"/>
  <c r="U54" i="1" s="1"/>
  <c r="L51" i="1"/>
  <c r="R51" i="1" s="1"/>
  <c r="S51" i="1" s="1"/>
  <c r="U51" i="1" s="1"/>
  <c r="V51" i="1" s="1"/>
  <c r="R38" i="1" l="1"/>
  <c r="S37" i="1"/>
  <c r="U37" i="1" s="1"/>
  <c r="P38" i="1"/>
  <c r="S38" i="1" s="1"/>
  <c r="U38" i="1" s="1"/>
  <c r="V37" i="1" s="1"/>
  <c r="W37" i="1" s="1"/>
  <c r="V54" i="1"/>
  <c r="W54" i="1" s="1"/>
  <c r="AI50" i="1"/>
  <c r="AM50" i="1" s="1"/>
  <c r="AI49" i="1"/>
  <c r="AM49" i="1" s="1"/>
  <c r="AI48" i="1"/>
  <c r="AQ48" i="1" s="1"/>
  <c r="AI47" i="1"/>
  <c r="AK47" i="1" s="1"/>
  <c r="AK50" i="1" l="1"/>
  <c r="AQ50" i="1"/>
  <c r="AQ49" i="1"/>
  <c r="AK49" i="1"/>
  <c r="AP49" i="1" s="1"/>
  <c r="AR49" i="1" s="1"/>
  <c r="AQ47" i="1"/>
  <c r="AP50" i="1"/>
  <c r="AR50" i="1" s="1"/>
  <c r="AK48" i="1"/>
  <c r="AM48" i="1"/>
  <c r="AP48" i="1" s="1"/>
  <c r="AR48" i="1" s="1"/>
  <c r="AM47" i="1"/>
  <c r="AP47" i="1" s="1"/>
  <c r="AR47" i="1" s="1"/>
  <c r="AI46" i="1"/>
  <c r="AK46" i="1" s="1"/>
  <c r="AQ46" i="1"/>
  <c r="AM46" i="1" l="1"/>
  <c r="AS47" i="1"/>
  <c r="AP46" i="1"/>
  <c r="AR46" i="1" s="1"/>
  <c r="AS46" i="1" s="1"/>
  <c r="AU46" i="1" s="1"/>
  <c r="U50" i="1"/>
  <c r="W50" i="1" s="1"/>
  <c r="L50" i="1"/>
  <c r="W49" i="1"/>
  <c r="R49" i="1"/>
  <c r="L48" i="1"/>
  <c r="R48" i="1" s="1"/>
  <c r="U47" i="1"/>
  <c r="W47" i="1" s="1"/>
  <c r="L47" i="1"/>
  <c r="R47" i="1" s="1"/>
  <c r="AI45" i="1"/>
  <c r="AQ45" i="1" s="1"/>
  <c r="AI44" i="1"/>
  <c r="AQ44" i="1" s="1"/>
  <c r="AI43" i="1"/>
  <c r="AK43" i="1" s="1"/>
  <c r="AQ43" i="1"/>
  <c r="AI42" i="1"/>
  <c r="AK42" i="1" s="1"/>
  <c r="AQ42" i="1"/>
  <c r="AM43" i="1" l="1"/>
  <c r="AM42" i="1"/>
  <c r="U48" i="1"/>
  <c r="W48" i="1" s="1"/>
  <c r="S48" i="1"/>
  <c r="AP43" i="1"/>
  <c r="AR43" i="1" s="1"/>
  <c r="AP42" i="1"/>
  <c r="AR42" i="1" s="1"/>
  <c r="AK45" i="1"/>
  <c r="AK44" i="1"/>
  <c r="AM45" i="1"/>
  <c r="AM44" i="1"/>
  <c r="AI41" i="1"/>
  <c r="AQ41" i="1" s="1"/>
  <c r="AP44" i="1" l="1"/>
  <c r="AR44" i="1" s="1"/>
  <c r="AP45" i="1"/>
  <c r="AR45" i="1" s="1"/>
  <c r="AS42" i="1"/>
  <c r="AU42" i="1" s="1"/>
  <c r="AM41" i="1"/>
  <c r="AK41" i="1"/>
  <c r="AI37" i="1"/>
  <c r="AQ37" i="1" s="1"/>
  <c r="AI39" i="1"/>
  <c r="AK39" i="1" s="1"/>
  <c r="AI40" i="1"/>
  <c r="AM40" i="1" s="1"/>
  <c r="AI38" i="1"/>
  <c r="AM38" i="1" s="1"/>
  <c r="AI36" i="1"/>
  <c r="AQ36" i="1" s="1"/>
  <c r="AI35" i="1"/>
  <c r="AK35" i="1" s="1"/>
  <c r="AI34" i="1"/>
  <c r="AQ34" i="1" s="1"/>
  <c r="AI33" i="1"/>
  <c r="AK33" i="1" s="1"/>
  <c r="AI32" i="1"/>
  <c r="AQ32" i="1" s="1"/>
  <c r="AI31" i="1"/>
  <c r="AQ31" i="1" s="1"/>
  <c r="AI30" i="1"/>
  <c r="AQ30" i="1" s="1"/>
  <c r="AI29" i="1"/>
  <c r="AM29" i="1" s="1"/>
  <c r="AI28" i="1"/>
  <c r="AQ28" i="1" s="1"/>
  <c r="AI27" i="1"/>
  <c r="AQ27" i="1" s="1"/>
  <c r="AI23" i="1"/>
  <c r="AM23" i="1" s="1"/>
  <c r="AI24" i="1"/>
  <c r="AQ24" i="1" s="1"/>
  <c r="AI25" i="1"/>
  <c r="AQ25" i="1" s="1"/>
  <c r="AI26" i="1"/>
  <c r="AQ26" i="1" s="1"/>
  <c r="AI22" i="1"/>
  <c r="AQ22" i="1" s="1"/>
  <c r="AI21" i="1"/>
  <c r="AM21" i="1" s="1"/>
  <c r="AI20" i="1"/>
  <c r="AM20" i="1" s="1"/>
  <c r="AI18" i="1"/>
  <c r="AK18" i="1" s="1"/>
  <c r="AI19" i="1"/>
  <c r="AM19" i="1" s="1"/>
  <c r="AI17" i="1"/>
  <c r="AM17" i="1" s="1"/>
  <c r="L46" i="1"/>
  <c r="P46" i="1" s="1"/>
  <c r="AM33" i="1" l="1"/>
  <c r="AQ33" i="1"/>
  <c r="AQ29" i="1"/>
  <c r="AK27" i="1"/>
  <c r="AP41" i="1"/>
  <c r="AR41" i="1" s="1"/>
  <c r="AK29" i="1"/>
  <c r="AP29" i="1" s="1"/>
  <c r="AM32" i="1"/>
  <c r="AM18" i="1"/>
  <c r="AP18" i="1" s="1"/>
  <c r="AK31" i="1"/>
  <c r="AK17" i="1"/>
  <c r="AP17" i="1" s="1"/>
  <c r="T46" i="1"/>
  <c r="AM27" i="1"/>
  <c r="AP27" i="1" s="1"/>
  <c r="AM30" i="1"/>
  <c r="R46" i="1"/>
  <c r="AK30" i="1"/>
  <c r="AM28" i="1"/>
  <c r="AM31" i="1"/>
  <c r="AP31" i="1" s="1"/>
  <c r="AK32" i="1"/>
  <c r="AK34" i="1"/>
  <c r="AK36" i="1"/>
  <c r="AQ39" i="1"/>
  <c r="AM36" i="1"/>
  <c r="N46" i="1"/>
  <c r="AK28" i="1"/>
  <c r="AK40" i="1"/>
  <c r="AP40" i="1" s="1"/>
  <c r="AK37" i="1"/>
  <c r="AM37" i="1"/>
  <c r="AQ40" i="1"/>
  <c r="AM39" i="1"/>
  <c r="AP39" i="1" s="1"/>
  <c r="AQ38" i="1"/>
  <c r="AK38" i="1"/>
  <c r="AP38" i="1" s="1"/>
  <c r="AM34" i="1"/>
  <c r="AP34" i="1" s="1"/>
  <c r="AP33" i="1"/>
  <c r="AM35" i="1"/>
  <c r="AP35" i="1" s="1"/>
  <c r="AK26" i="1"/>
  <c r="AM26" i="1"/>
  <c r="AK25" i="1"/>
  <c r="AM25" i="1"/>
  <c r="AM22" i="1"/>
  <c r="AK22" i="1"/>
  <c r="AQ21" i="1"/>
  <c r="AK21" i="1"/>
  <c r="AP21" i="1" s="1"/>
  <c r="AK23" i="1"/>
  <c r="AP23" i="1" s="1"/>
  <c r="AQ23" i="1"/>
  <c r="AM24" i="1"/>
  <c r="AK24" i="1"/>
  <c r="AK20" i="1"/>
  <c r="AP20" i="1" s="1"/>
  <c r="AS20" i="1" s="1"/>
  <c r="AK19" i="1"/>
  <c r="AP19" i="1" s="1"/>
  <c r="AI15" i="1"/>
  <c r="AM15" i="1" s="1"/>
  <c r="AI16" i="1"/>
  <c r="AM16" i="1" s="1"/>
  <c r="AI14" i="1"/>
  <c r="AM14" i="1" s="1"/>
  <c r="AI13" i="1"/>
  <c r="AM13" i="1" s="1"/>
  <c r="AI12" i="1"/>
  <c r="AM12" i="1" s="1"/>
  <c r="AI11" i="1"/>
  <c r="AM11" i="1" s="1"/>
  <c r="AI10" i="1"/>
  <c r="AM10" i="1" s="1"/>
  <c r="AI8" i="1"/>
  <c r="AM8" i="1" s="1"/>
  <c r="AI9" i="1"/>
  <c r="AK9" i="1" s="1"/>
  <c r="AI7" i="1"/>
  <c r="AK7" i="1" s="1"/>
  <c r="AI6" i="1"/>
  <c r="AO6" i="1" s="1"/>
  <c r="L45" i="1"/>
  <c r="N45" i="1" s="1"/>
  <c r="L44" i="1"/>
  <c r="N44" i="1" s="1"/>
  <c r="L42" i="1"/>
  <c r="R42" i="1" s="1"/>
  <c r="L43" i="1"/>
  <c r="R43" i="1" s="1"/>
  <c r="L40" i="1"/>
  <c r="R40" i="1" s="1"/>
  <c r="S40" i="1" s="1"/>
  <c r="U40" i="1" s="1"/>
  <c r="L39" i="1"/>
  <c r="R39" i="1" s="1"/>
  <c r="S39" i="1" s="1"/>
  <c r="U39" i="1" s="1"/>
  <c r="L53" i="1"/>
  <c r="L52" i="1"/>
  <c r="L36" i="1"/>
  <c r="P36" i="1" s="1"/>
  <c r="L34" i="1"/>
  <c r="R34" i="1" s="1"/>
  <c r="S34" i="1" s="1"/>
  <c r="U34" i="1" s="1"/>
  <c r="L33" i="1"/>
  <c r="R33" i="1" s="1"/>
  <c r="S33" i="1" s="1"/>
  <c r="U33" i="1" s="1"/>
  <c r="L32" i="1"/>
  <c r="R32" i="1" s="1"/>
  <c r="S32" i="1" s="1"/>
  <c r="U32" i="1" s="1"/>
  <c r="V32" i="1" s="1"/>
  <c r="L31" i="1"/>
  <c r="R31" i="1" s="1"/>
  <c r="S31" i="1" s="1"/>
  <c r="U31" i="1" s="1"/>
  <c r="L30" i="1"/>
  <c r="R30" i="1" s="1"/>
  <c r="S30" i="1" s="1"/>
  <c r="U30" i="1" s="1"/>
  <c r="L27" i="1"/>
  <c r="P27" i="1" s="1"/>
  <c r="L28" i="1"/>
  <c r="N28" i="1" s="1"/>
  <c r="L29" i="1"/>
  <c r="P29" i="1" s="1"/>
  <c r="P43" i="1" l="1"/>
  <c r="AP32" i="1"/>
  <c r="AS32" i="1" s="1"/>
  <c r="AP25" i="1"/>
  <c r="R27" i="1"/>
  <c r="S27" i="1" s="1"/>
  <c r="U27" i="1" s="1"/>
  <c r="S46" i="1"/>
  <c r="U46" i="1" s="1"/>
  <c r="AS17" i="1"/>
  <c r="AP36" i="1"/>
  <c r="AS36" i="1" s="1"/>
  <c r="AK16" i="1"/>
  <c r="AP16" i="1" s="1"/>
  <c r="AQ16" i="1" s="1"/>
  <c r="AR40" i="1"/>
  <c r="AK15" i="1"/>
  <c r="AP15" i="1" s="1"/>
  <c r="AQ15" i="1" s="1"/>
  <c r="AR38" i="1"/>
  <c r="AP37" i="1"/>
  <c r="AR37" i="1" s="1"/>
  <c r="AP30" i="1"/>
  <c r="R53" i="1"/>
  <c r="N53" i="1"/>
  <c r="P53" i="1"/>
  <c r="AP28" i="1"/>
  <c r="AS27" i="1" s="1"/>
  <c r="AU27" i="1" s="1"/>
  <c r="R52" i="1"/>
  <c r="P52" i="1"/>
  <c r="N52" i="1"/>
  <c r="AK14" i="1"/>
  <c r="AP14" i="1" s="1"/>
  <c r="AQ14" i="1" s="1"/>
  <c r="AR39" i="1"/>
  <c r="AS33" i="1"/>
  <c r="AU33" i="1" s="1"/>
  <c r="AP26" i="1"/>
  <c r="AP22" i="1"/>
  <c r="AP24" i="1"/>
  <c r="P28" i="1"/>
  <c r="S28" i="1" s="1"/>
  <c r="U28" i="1" s="1"/>
  <c r="AK8" i="1"/>
  <c r="AP8" i="1" s="1"/>
  <c r="AK10" i="1"/>
  <c r="R28" i="1"/>
  <c r="N43" i="1"/>
  <c r="S43" i="1" s="1"/>
  <c r="U43" i="1" s="1"/>
  <c r="V39" i="1"/>
  <c r="W39" i="1" s="1"/>
  <c r="N29" i="1"/>
  <c r="R36" i="1"/>
  <c r="AM9" i="1"/>
  <c r="AP9" i="1" s="1"/>
  <c r="AK12" i="1"/>
  <c r="AP12" i="1" s="1"/>
  <c r="AQ12" i="1" s="1"/>
  <c r="AK13" i="1"/>
  <c r="AP13" i="1" s="1"/>
  <c r="AQ13" i="1" s="1"/>
  <c r="R29" i="1"/>
  <c r="N27" i="1"/>
  <c r="AM7" i="1"/>
  <c r="AP7" i="1" s="1"/>
  <c r="AP10" i="1"/>
  <c r="AQ10" i="1" s="1"/>
  <c r="AK11" i="1"/>
  <c r="AP11" i="1" s="1"/>
  <c r="AQ11" i="1" s="1"/>
  <c r="AK6" i="1"/>
  <c r="AM6" i="1"/>
  <c r="R45" i="1"/>
  <c r="P45" i="1"/>
  <c r="R44" i="1"/>
  <c r="P44" i="1"/>
  <c r="P42" i="1"/>
  <c r="N42" i="1"/>
  <c r="N36" i="1"/>
  <c r="W32" i="1"/>
  <c r="V33" i="1"/>
  <c r="W33" i="1" s="1"/>
  <c r="V30" i="1"/>
  <c r="W30" i="1" s="1"/>
  <c r="AI3" i="1"/>
  <c r="AK3" i="1" s="1"/>
  <c r="AI2" i="1"/>
  <c r="AK2" i="1" s="1"/>
  <c r="AM2" i="1" s="1"/>
  <c r="AP2" i="1" s="1"/>
  <c r="AQ2" i="1" s="1"/>
  <c r="AS37" i="1" l="1"/>
  <c r="AS14" i="1"/>
  <c r="S36" i="1"/>
  <c r="U36" i="1" s="1"/>
  <c r="V36" i="1" s="1"/>
  <c r="W36" i="1" s="1"/>
  <c r="S44" i="1"/>
  <c r="U44" i="1" s="1"/>
  <c r="S52" i="1"/>
  <c r="U52" i="1" s="1"/>
  <c r="S53" i="1"/>
  <c r="U53" i="1" s="1"/>
  <c r="AS21" i="1"/>
  <c r="AU21" i="1" s="1"/>
  <c r="AQ7" i="1"/>
  <c r="AU7" i="1" s="1"/>
  <c r="S29" i="1"/>
  <c r="U29" i="1" s="1"/>
  <c r="S42" i="1"/>
  <c r="U42" i="1" s="1"/>
  <c r="S45" i="1"/>
  <c r="U45" i="1" s="1"/>
  <c r="AP6" i="1"/>
  <c r="AS6" i="1" s="1"/>
  <c r="AU6" i="1" s="1"/>
  <c r="V27" i="1"/>
  <c r="W27" i="1" s="1"/>
  <c r="AM3" i="1"/>
  <c r="AP3" i="1"/>
  <c r="AQ3" i="1" s="1"/>
  <c r="AS2" i="1" s="1"/>
  <c r="L17" i="1"/>
  <c r="L20" i="1"/>
  <c r="N20" i="1" s="1"/>
  <c r="L14" i="1"/>
  <c r="R14" i="1" s="1"/>
  <c r="L15" i="1"/>
  <c r="R15" i="1" s="1"/>
  <c r="L13" i="1"/>
  <c r="R13" i="1" s="1"/>
  <c r="L12" i="1"/>
  <c r="R12" i="1" s="1"/>
  <c r="L11" i="1"/>
  <c r="R11" i="1" s="1"/>
  <c r="L10" i="1"/>
  <c r="R10" i="1" s="1"/>
  <c r="L7" i="1"/>
  <c r="R7" i="1" s="1"/>
  <c r="L8" i="1"/>
  <c r="R8" i="1" s="1"/>
  <c r="L9" i="1"/>
  <c r="R9" i="1" s="1"/>
  <c r="L6" i="1"/>
  <c r="R6" i="1" s="1"/>
  <c r="L4" i="1"/>
  <c r="R4" i="1" s="1"/>
  <c r="L5" i="1"/>
  <c r="R5" i="1" s="1"/>
  <c r="L2" i="1"/>
  <c r="R2" i="1" s="1"/>
  <c r="L3" i="1"/>
  <c r="N3" i="1" s="1"/>
  <c r="L26" i="1"/>
  <c r="R26" i="1" s="1"/>
  <c r="S26" i="1" s="1"/>
  <c r="U26" i="1" s="1"/>
  <c r="L21" i="1"/>
  <c r="R21" i="1" s="1"/>
  <c r="S21" i="1" s="1"/>
  <c r="U21" i="1" s="1"/>
  <c r="L22" i="1"/>
  <c r="R22" i="1" s="1"/>
  <c r="S22" i="1" s="1"/>
  <c r="U22" i="1" s="1"/>
  <c r="L23" i="1"/>
  <c r="P23" i="1" s="1"/>
  <c r="L24" i="1"/>
  <c r="P24" i="1" s="1"/>
  <c r="L25" i="1"/>
  <c r="R25" i="1" s="1"/>
  <c r="V42" i="1" l="1"/>
  <c r="W42" i="1" s="1"/>
  <c r="P3" i="1"/>
  <c r="V52" i="1"/>
  <c r="W52" i="1" s="1"/>
  <c r="R3" i="1"/>
  <c r="S3" i="1" s="1"/>
  <c r="U3" i="1" s="1"/>
  <c r="R23" i="1"/>
  <c r="N8" i="1"/>
  <c r="R20" i="1"/>
  <c r="R24" i="1"/>
  <c r="P12" i="1"/>
  <c r="P20" i="1"/>
  <c r="N5" i="1"/>
  <c r="P5" i="1"/>
  <c r="N23" i="1"/>
  <c r="S23" i="1" s="1"/>
  <c r="U23" i="1" s="1"/>
  <c r="R17" i="1"/>
  <c r="N17" i="1"/>
  <c r="N6" i="1"/>
  <c r="P6" i="1"/>
  <c r="P8" i="1"/>
  <c r="S8" i="1" s="1"/>
  <c r="U8" i="1" s="1"/>
  <c r="N10" i="1"/>
  <c r="P10" i="1"/>
  <c r="N12" i="1"/>
  <c r="S12" i="1" s="1"/>
  <c r="U12" i="1" s="1"/>
  <c r="V12" i="1" s="1"/>
  <c r="W12" i="1" s="1"/>
  <c r="N15" i="1"/>
  <c r="P15" i="1"/>
  <c r="N2" i="1"/>
  <c r="N9" i="1"/>
  <c r="N11" i="1"/>
  <c r="N14" i="1"/>
  <c r="P2" i="1"/>
  <c r="P9" i="1"/>
  <c r="P11" i="1"/>
  <c r="S11" i="1" s="1"/>
  <c r="U11" i="1" s="1"/>
  <c r="V11" i="1" s="1"/>
  <c r="W11" i="1" s="1"/>
  <c r="P14" i="1"/>
  <c r="N4" i="1"/>
  <c r="N7" i="1"/>
  <c r="N13" i="1"/>
  <c r="P4" i="1"/>
  <c r="P7" i="1"/>
  <c r="P13" i="1"/>
  <c r="P17" i="1"/>
  <c r="N24" i="1"/>
  <c r="V21" i="1"/>
  <c r="W21" i="1" s="1"/>
  <c r="S25" i="1"/>
  <c r="U25" i="1" s="1"/>
  <c r="V25" i="1" s="1"/>
  <c r="W25" i="1" s="1"/>
  <c r="S20" i="1" l="1"/>
  <c r="U20" i="1" s="1"/>
  <c r="V20" i="1" s="1"/>
  <c r="W20" i="1" s="1"/>
  <c r="S2" i="1"/>
  <c r="U2" i="1" s="1"/>
  <c r="V2" i="1" s="1"/>
  <c r="W2" i="1" s="1"/>
  <c r="S24" i="1"/>
  <c r="U24" i="1" s="1"/>
  <c r="V23" i="1" s="1"/>
  <c r="S13" i="1"/>
  <c r="U13" i="1" s="1"/>
  <c r="V13" i="1" s="1"/>
  <c r="W13" i="1" s="1"/>
  <c r="S15" i="1"/>
  <c r="U15" i="1" s="1"/>
  <c r="S6" i="1"/>
  <c r="U6" i="1" s="1"/>
  <c r="V6" i="1" s="1"/>
  <c r="W6" i="1" s="1"/>
  <c r="S5" i="1"/>
  <c r="U5" i="1" s="1"/>
  <c r="S10" i="1"/>
  <c r="U10" i="1" s="1"/>
  <c r="V10" i="1" s="1"/>
  <c r="W10" i="1" s="1"/>
  <c r="S17" i="1"/>
  <c r="U17" i="1" s="1"/>
  <c r="V17" i="1" s="1"/>
  <c r="W17" i="1" s="1"/>
  <c r="S9" i="1"/>
  <c r="U9" i="1" s="1"/>
  <c r="S7" i="1"/>
  <c r="U7" i="1" s="1"/>
  <c r="S4" i="1"/>
  <c r="U4" i="1" s="1"/>
  <c r="S14" i="1"/>
  <c r="U14" i="1" s="1"/>
  <c r="V14" i="1" s="1"/>
  <c r="W14" i="1" s="1"/>
  <c r="V7" i="1" l="1"/>
  <c r="W7" i="1" s="1"/>
  <c r="V4" i="1"/>
  <c r="W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PIP</author>
  </authors>
  <commentList>
    <comment ref="W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PIP:</t>
        </r>
        <r>
          <rPr>
            <sz val="9"/>
            <color indexed="81"/>
            <rFont val="Tahoma"/>
            <family val="2"/>
          </rPr>
          <t xml:space="preserve">
Shipping charge</t>
        </r>
      </text>
    </comment>
  </commentList>
</comments>
</file>

<file path=xl/sharedStrings.xml><?xml version="1.0" encoding="utf-8"?>
<sst xmlns="http://schemas.openxmlformats.org/spreadsheetml/2006/main" count="515" uniqueCount="169">
  <si>
    <t>Voucher Type</t>
  </si>
  <si>
    <t>Voucher Number</t>
  </si>
  <si>
    <t>Voucher Date</t>
  </si>
  <si>
    <t>Supplier Ledger Name</t>
  </si>
  <si>
    <t>Purchase Ledger Name</t>
  </si>
  <si>
    <t>GST Registration Type</t>
  </si>
  <si>
    <t>Place of Supply</t>
  </si>
  <si>
    <t>Taxable Value</t>
  </si>
  <si>
    <t>CGST Amount</t>
  </si>
  <si>
    <t>SGST Amount</t>
  </si>
  <si>
    <t>IGST Amount</t>
  </si>
  <si>
    <t>Bill Total</t>
  </si>
  <si>
    <t>Purchase</t>
  </si>
  <si>
    <t>Glamtech Enterprises</t>
  </si>
  <si>
    <t>Purchase 18%</t>
  </si>
  <si>
    <t>Regular</t>
  </si>
  <si>
    <t>West Bengal</t>
  </si>
  <si>
    <t>ALL/26-27/001185</t>
  </si>
  <si>
    <t>ALL IN ONE INFOTECH</t>
  </si>
  <si>
    <t>ALL/26-27/001266</t>
  </si>
  <si>
    <t>ALL/26-27/001350</t>
  </si>
  <si>
    <t>ALL/26-27/002663</t>
  </si>
  <si>
    <t>ALL/26-27/00936</t>
  </si>
  <si>
    <t>KE/00653/26-27</t>
  </si>
  <si>
    <t>KHAIYYAM ENTERPRISE</t>
  </si>
  <si>
    <t>KE/03834/26-27</t>
  </si>
  <si>
    <t>SI/26-27/0094</t>
  </si>
  <si>
    <t>STAR INFOTECH</t>
  </si>
  <si>
    <t>SSE/BR2627/1451</t>
  </si>
  <si>
    <t>Sri Shyam Eletronics</t>
  </si>
  <si>
    <t>SSE/BR2627/455</t>
  </si>
  <si>
    <t>SSE/BR2627/737</t>
  </si>
  <si>
    <t>Sri Shyam Electronics</t>
  </si>
  <si>
    <t>YTS-26-27/4856</t>
  </si>
  <si>
    <t>Yadav Tech Solution Pvt. Ltd.</t>
  </si>
  <si>
    <t>Bill Incl GST</t>
  </si>
  <si>
    <t>TOTAL BILL AMOUNT</t>
  </si>
  <si>
    <t>windows 10</t>
  </si>
  <si>
    <t>office 21</t>
  </si>
  <si>
    <t>windows 11</t>
  </si>
  <si>
    <t>HDD ZEBRONICS SSD 512 GB ZEB-SD52</t>
  </si>
  <si>
    <t>DDR3 8GB RAM</t>
  </si>
  <si>
    <t>CP-Z43Q SY CP EZYKAM</t>
  </si>
  <si>
    <t>WD 500GB SSD 3D NAND SATA III 6GB S 2.5 7MM GREEN</t>
  </si>
  <si>
    <t>HP PRINTER 5810 Gear Box</t>
  </si>
  <si>
    <t>HP PRINTER 5810 Pickup Roller</t>
  </si>
  <si>
    <t>LOGITECH WEBCAM GRAPHITE BRIO 100</t>
  </si>
  <si>
    <t>Coconut Wifi + Bt Dongle</t>
  </si>
  <si>
    <t>Lapcare UPS</t>
  </si>
  <si>
    <t>HDD DAICHI 1TB</t>
  </si>
  <si>
    <t>SSD 256GB</t>
  </si>
  <si>
    <t>DDR3 4GB RAM</t>
  </si>
  <si>
    <t>DDR 3 8GB RAM</t>
  </si>
  <si>
    <t>STARLITE LAPTOP RAM 8GB DDR4 2666</t>
  </si>
  <si>
    <t>SY CP-E31Q EZYKAM CP PLUS</t>
  </si>
  <si>
    <t>HEAD CANON BLACK BH7</t>
  </si>
  <si>
    <t>INK BOTTLE CANON GL 790 BK</t>
  </si>
  <si>
    <t>Item Description</t>
  </si>
  <si>
    <t>CGST Rate</t>
  </si>
  <si>
    <t>SGST Rate</t>
  </si>
  <si>
    <t>Total TAX</t>
  </si>
  <si>
    <t>Round off</t>
  </si>
  <si>
    <t xml:space="preserve">CP-Z43Q SY CP EZYKAM </t>
  </si>
  <si>
    <t>Price</t>
  </si>
  <si>
    <t>QTY</t>
  </si>
  <si>
    <t>IGST Rate</t>
  </si>
  <si>
    <t>SELLING DATE</t>
  </si>
  <si>
    <t>CUSTOMER NAME</t>
  </si>
  <si>
    <t>CUSTOMER TYPE</t>
  </si>
  <si>
    <t>GST NUMBER</t>
  </si>
  <si>
    <t>ADDRESS</t>
  </si>
  <si>
    <t>ITEM DESCRIPTION</t>
  </si>
  <si>
    <t>AMOUNT</t>
  </si>
  <si>
    <t>BILL NO</t>
  </si>
  <si>
    <t>TGIT/001/26-27</t>
  </si>
  <si>
    <t>TAPAS KUMAR</t>
  </si>
  <si>
    <t>NON GST</t>
  </si>
  <si>
    <t>NA</t>
  </si>
  <si>
    <t>MADHYAPARA BANSDRONI KOL 70</t>
  </si>
  <si>
    <t>TGIT/002/26-27</t>
  </si>
  <si>
    <t>TGIT/003/26-27</t>
  </si>
  <si>
    <t>TGIT/004/26-27</t>
  </si>
  <si>
    <t>TGIT/005/26-27</t>
  </si>
  <si>
    <t>TGIT/006/26-27</t>
  </si>
  <si>
    <t>TGIT/007/26-27</t>
  </si>
  <si>
    <t>TGIT/008/26-27</t>
  </si>
  <si>
    <t>TGIT/009/26-27</t>
  </si>
  <si>
    <t>TGIT/010/26-27</t>
  </si>
  <si>
    <t>TGIT/011/26-27</t>
  </si>
  <si>
    <t>TGIT/012/26-27</t>
  </si>
  <si>
    <t>TGIT/013/26-27</t>
  </si>
  <si>
    <t>TGIT/014/26-27</t>
  </si>
  <si>
    <t>ALL/26-27/002907</t>
  </si>
  <si>
    <t>HP USB MOUSE</t>
  </si>
  <si>
    <t>Window 10</t>
  </si>
  <si>
    <t>06-047815</t>
  </si>
  <si>
    <t>06-047572</t>
  </si>
  <si>
    <t>05-047526</t>
  </si>
  <si>
    <t>06-047910</t>
  </si>
  <si>
    <t>Windows 11</t>
  </si>
  <si>
    <t>06-048143</t>
  </si>
  <si>
    <t>Window 11</t>
  </si>
  <si>
    <t>SSE/BR2627/1846</t>
  </si>
  <si>
    <t>TP LINK WIRELESS RANGE EXTENDER TL-WA850RE</t>
  </si>
  <si>
    <t>ALL/26-27/003564</t>
  </si>
  <si>
    <t>SSD 256GB Consistent</t>
  </si>
  <si>
    <t>CADDY</t>
  </si>
  <si>
    <t>06-048466</t>
  </si>
  <si>
    <t>ALL/26-27/003752</t>
  </si>
  <si>
    <t>Honey Well USB Momentum</t>
  </si>
  <si>
    <t>DDR3 RAM 8GB DESKTOP RAM</t>
  </si>
  <si>
    <t>SSD 256 GB CONSISTENT</t>
  </si>
  <si>
    <t>AVIJIT SAHA</t>
  </si>
  <si>
    <t>BANSDRONI</t>
  </si>
  <si>
    <t>POUSALI DAS</t>
  </si>
  <si>
    <t>HARIDEBPUR</t>
  </si>
  <si>
    <t>S Chattterjee</t>
  </si>
  <si>
    <t>HEDUAPARK</t>
  </si>
  <si>
    <t>Sunrise Residency</t>
  </si>
  <si>
    <t>Arunodoy Sangha</t>
  </si>
  <si>
    <t>Amal Benarjee</t>
  </si>
  <si>
    <t>Suma C</t>
  </si>
  <si>
    <t>Subhankar Bera</t>
  </si>
  <si>
    <t>Service installation</t>
  </si>
  <si>
    <t>Mack Insurance Surveyors &amp; Loss</t>
  </si>
  <si>
    <t>GST</t>
  </si>
  <si>
    <t>19AAFCM2347C1ZO</t>
  </si>
  <si>
    <t>Kolkata 700012</t>
  </si>
  <si>
    <t>HSN CODE</t>
  </si>
  <si>
    <t>SSE/BR2627/2106</t>
  </si>
  <si>
    <t>DAICHI HDD 500 GB</t>
  </si>
  <si>
    <t>HP INK TANK PRINTER WASTE CARTIDGE</t>
  </si>
  <si>
    <t>CAMERA INSTALLATION CHARGE</t>
  </si>
  <si>
    <t>Dipyaman Pal</t>
  </si>
  <si>
    <t>Kolkata 47</t>
  </si>
  <si>
    <t>Bethune College Department of Physics</t>
  </si>
  <si>
    <t>181 Bidhan Sarani kolkata 700006</t>
  </si>
  <si>
    <t>Coconut Wifi Dongle</t>
  </si>
  <si>
    <t>MAHITOSH BHOWMICK</t>
  </si>
  <si>
    <t>NIMTOURI, PURBA MEDINIPUR PIN 721649</t>
  </si>
  <si>
    <t>RAJESH SAHA</t>
  </si>
  <si>
    <t>NSC BOSE ROAD KOLKATA-700047</t>
  </si>
  <si>
    <t>TGIT/015/26-27</t>
  </si>
  <si>
    <t>DIPANKAR MAJUMDAR</t>
  </si>
  <si>
    <t>TGIT/016/26-27</t>
  </si>
  <si>
    <t>SOMNATH DAS</t>
  </si>
  <si>
    <t>KAIKHALI KOLKATA 700136</t>
  </si>
  <si>
    <t>TGIT/017/26-27</t>
  </si>
  <si>
    <t>Bethune College Department of ZOOLOGY</t>
  </si>
  <si>
    <t>LAPTOP DDR3 RAM 8GB</t>
  </si>
  <si>
    <t>TGIT/018/26-27</t>
  </si>
  <si>
    <t>Bethune College Department of History</t>
  </si>
  <si>
    <t>06-048682</t>
  </si>
  <si>
    <t>Glamtech Enterprise</t>
  </si>
  <si>
    <t>06-048723</t>
  </si>
  <si>
    <t>06-048789</t>
  </si>
  <si>
    <t>06-048804</t>
  </si>
  <si>
    <t>TGIT/019/26-27</t>
  </si>
  <si>
    <t>RAJA GHOSH</t>
  </si>
  <si>
    <t>Nather Bagan Street, Sovabazar Kolkata 700005</t>
  </si>
  <si>
    <t>TGIT/020/26-27</t>
  </si>
  <si>
    <t>TGIT/021/26-27</t>
  </si>
  <si>
    <t>TGIT/022/26-27</t>
  </si>
  <si>
    <t>Suman Halder</t>
  </si>
  <si>
    <t>Sonali Park, Kolkata 700070</t>
  </si>
  <si>
    <t>07-049122</t>
  </si>
  <si>
    <t>ALL/26-27/004432</t>
  </si>
  <si>
    <t>07-049176</t>
  </si>
  <si>
    <t>Glamtech Enterprice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</si>
</sst>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9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/>
    <xf numFmtId="2" fontId="0" fillId="5" borderId="1" xfId="0" applyNumberFormat="1" applyFill="1" applyBorder="1"/>
    <xf numFmtId="2" fontId="0" fillId="5" borderId="1" xfId="0" applyNumberFormat="1" applyFill="1" applyBorder="1" applyAlignment="1">
      <alignment vertical="center"/>
    </xf>
    <xf numFmtId="0" fontId="0" fillId="4" borderId="1" xfId="0" applyFill="1" applyBorder="1"/>
    <xf numFmtId="14" fontId="0" fillId="4" borderId="1" xfId="0" applyNumberFormat="1" applyFill="1" applyBorder="1"/>
    <xf numFmtId="2" fontId="0" fillId="4" borderId="1" xfId="0" applyNumberFormat="1" applyFill="1" applyBorder="1"/>
    <xf numFmtId="2" fontId="0" fillId="4" borderId="1" xfId="0" applyNumberFormat="1" applyFill="1" applyBorder="1" applyAlignment="1">
      <alignment vertical="center"/>
    </xf>
    <xf numFmtId="0" fontId="0" fillId="11" borderId="1" xfId="0" applyFill="1" applyBorder="1"/>
    <xf numFmtId="14" fontId="0" fillId="11" borderId="1" xfId="0" applyNumberFormat="1" applyFill="1" applyBorder="1"/>
    <xf numFmtId="2" fontId="0" fillId="11" borderId="1" xfId="0" applyNumberFormat="1" applyFill="1" applyBorder="1"/>
    <xf numFmtId="2" fontId="0" fillId="11" borderId="1" xfId="0" applyNumberFormat="1" applyFill="1" applyBorder="1" applyAlignment="1">
      <alignment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0" borderId="1" xfId="0" applyFill="1" applyBorder="1"/>
    <xf numFmtId="14" fontId="0" fillId="10" borderId="1" xfId="0" applyNumberFormat="1" applyFill="1" applyBorder="1"/>
    <xf numFmtId="2" fontId="0" fillId="10" borderId="1" xfId="0" applyNumberFormat="1" applyFill="1" applyBorder="1"/>
    <xf numFmtId="2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/>
    <xf numFmtId="14" fontId="0" fillId="9" borderId="1" xfId="0" applyNumberFormat="1" applyFill="1" applyBorder="1"/>
    <xf numFmtId="2" fontId="0" fillId="9" borderId="1" xfId="0" applyNumberFormat="1" applyFill="1" applyBorder="1"/>
    <xf numFmtId="2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/>
    <xf numFmtId="2" fontId="0" fillId="3" borderId="1" xfId="0" applyNumberFormat="1" applyFill="1" applyBorder="1"/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8" borderId="1" xfId="0" applyNumberFormat="1" applyFill="1" applyBorder="1"/>
    <xf numFmtId="2" fontId="0" fillId="8" borderId="1" xfId="0" applyNumberFormat="1" applyFill="1" applyBorder="1"/>
    <xf numFmtId="2" fontId="0" fillId="8" borderId="1" xfId="0" applyNumberFormat="1" applyFill="1" applyBorder="1" applyAlignment="1">
      <alignment vertical="center"/>
    </xf>
    <xf numFmtId="14" fontId="0" fillId="6" borderId="1" xfId="0" applyNumberFormat="1" applyFill="1" applyBorder="1"/>
    <xf numFmtId="2" fontId="0" fillId="6" borderId="1" xfId="0" applyNumberFormat="1" applyFill="1" applyBorder="1"/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7" borderId="1" xfId="0" applyNumberFormat="1" applyFill="1" applyBorder="1"/>
    <xf numFmtId="2" fontId="0" fillId="7" borderId="1" xfId="0" applyNumberFormat="1" applyFill="1" applyBorder="1"/>
    <xf numFmtId="2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2" borderId="1" xfId="0" applyFill="1" applyBorder="1"/>
    <xf numFmtId="14" fontId="0" fillId="12" borderId="1" xfId="0" applyNumberFormat="1" applyFill="1" applyBorder="1"/>
    <xf numFmtId="2" fontId="0" fillId="12" borderId="1" xfId="0" applyNumberFormat="1" applyFill="1" applyBorder="1"/>
    <xf numFmtId="2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0" xfId="0" applyFill="1"/>
    <xf numFmtId="0" fontId="0" fillId="13" borderId="1" xfId="0" applyFill="1" applyBorder="1"/>
    <xf numFmtId="14" fontId="0" fillId="13" borderId="1" xfId="0" applyNumberFormat="1" applyFill="1" applyBorder="1"/>
    <xf numFmtId="2" fontId="0" fillId="13" borderId="1" xfId="0" applyNumberFormat="1" applyFill="1" applyBorder="1"/>
    <xf numFmtId="2" fontId="0" fillId="13" borderId="1" xfId="0" applyNumberForma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1" fillId="13" borderId="0" xfId="0" applyFont="1" applyFill="1"/>
    <xf numFmtId="2" fontId="0" fillId="3" borderId="1" xfId="0" applyNumberForma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14" borderId="0" xfId="0" applyFill="1"/>
    <xf numFmtId="0" fontId="0" fillId="14" borderId="1" xfId="0" applyFill="1" applyBorder="1"/>
    <xf numFmtId="2" fontId="0" fillId="14" borderId="1" xfId="0" applyNumberFormat="1" applyFill="1" applyBorder="1"/>
    <xf numFmtId="2" fontId="0" fillId="14" borderId="1" xfId="0" applyNumberFormat="1" applyFill="1" applyBorder="1" applyAlignment="1">
      <alignment vertical="center"/>
    </xf>
    <xf numFmtId="2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right"/>
    </xf>
    <xf numFmtId="0" fontId="0" fillId="3" borderId="1" xfId="0" applyFill="1" applyBorder="1" applyAlignment="1">
      <alignment wrapText="1"/>
    </xf>
    <xf numFmtId="0" fontId="0" fillId="15" borderId="0" xfId="0" applyFill="1"/>
    <xf numFmtId="0" fontId="0" fillId="15" borderId="1" xfId="0" applyFill="1" applyBorder="1"/>
    <xf numFmtId="2" fontId="0" fillId="15" borderId="1" xfId="0" applyNumberFormat="1" applyFill="1" applyBorder="1"/>
    <xf numFmtId="2" fontId="0" fillId="15" borderId="1" xfId="0" applyNumberFormat="1" applyFill="1" applyBorder="1" applyAlignment="1">
      <alignment vertical="center"/>
    </xf>
    <xf numFmtId="0" fontId="0" fillId="16" borderId="0" xfId="0" applyFill="1"/>
    <xf numFmtId="0" fontId="0" fillId="16" borderId="1" xfId="0" applyFill="1" applyBorder="1"/>
    <xf numFmtId="2" fontId="0" fillId="16" borderId="1" xfId="0" applyNumberFormat="1" applyFill="1" applyBorder="1"/>
    <xf numFmtId="2" fontId="0" fillId="16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4" fontId="0" fillId="14" borderId="1" xfId="0" applyNumberFormat="1" applyFill="1" applyBorder="1"/>
    <xf numFmtId="14" fontId="0" fillId="15" borderId="1" xfId="0" applyNumberFormat="1" applyFill="1" applyBorder="1"/>
    <xf numFmtId="2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0" fillId="16" borderId="1" xfId="0" applyNumberFormat="1" applyFill="1" applyBorder="1"/>
    <xf numFmtId="0" fontId="1" fillId="17" borderId="0" xfId="0" applyFont="1" applyFill="1"/>
    <xf numFmtId="0" fontId="1" fillId="17" borderId="1" xfId="0" applyFont="1" applyFill="1" applyBorder="1"/>
    <xf numFmtId="14" fontId="1" fillId="17" borderId="1" xfId="0" applyNumberFormat="1" applyFont="1" applyFill="1" applyBorder="1"/>
    <xf numFmtId="2" fontId="1" fillId="17" borderId="1" xfId="0" applyNumberFormat="1" applyFont="1" applyFill="1" applyBorder="1"/>
    <xf numFmtId="2" fontId="1" fillId="17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0" fillId="17" borderId="1" xfId="0" applyFill="1" applyBorder="1"/>
    <xf numFmtId="2" fontId="0" fillId="17" borderId="1" xfId="0" applyNumberFormat="1" applyFill="1" applyBorder="1"/>
    <xf numFmtId="0" fontId="0" fillId="17" borderId="0" xfId="0" applyFill="1"/>
    <xf numFmtId="0" fontId="1" fillId="13" borderId="1" xfId="0" applyFont="1" applyFill="1" applyBorder="1" applyAlignment="1">
      <alignment vertical="center"/>
    </xf>
    <xf numFmtId="2" fontId="1" fillId="13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wrapText="1"/>
    </xf>
    <xf numFmtId="0" fontId="0" fillId="6" borderId="2" xfId="0" applyFill="1" applyBorder="1" applyAlignment="1">
      <alignment vertical="center"/>
    </xf>
    <xf numFmtId="0" fontId="0" fillId="9" borderId="1" xfId="0" applyFill="1" applyBorder="1" applyAlignment="1">
      <alignment wrapText="1"/>
    </xf>
    <xf numFmtId="0" fontId="0" fillId="17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14" borderId="1" xfId="0" applyFill="1" applyBorder="1" applyAlignment="1">
      <alignment wrapText="1"/>
    </xf>
    <xf numFmtId="2" fontId="0" fillId="13" borderId="2" xfId="0" applyNumberFormat="1" applyFill="1" applyBorder="1" applyAlignment="1">
      <alignment vertical="center"/>
    </xf>
    <xf numFmtId="2" fontId="0" fillId="13" borderId="4" xfId="0" applyNumberFormat="1" applyFill="1" applyBorder="1" applyAlignment="1">
      <alignment vertical="center"/>
    </xf>
    <xf numFmtId="2" fontId="0" fillId="13" borderId="3" xfId="0" applyNumberFormat="1" applyFill="1" applyBorder="1" applyAlignment="1">
      <alignment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11" borderId="1" xfId="0" applyNumberFormat="1" applyFon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2" fontId="0" fillId="11" borderId="2" xfId="0" applyNumberFormat="1" applyFill="1" applyBorder="1" applyAlignment="1">
      <alignment horizontal="center"/>
    </xf>
    <xf numFmtId="2" fontId="0" fillId="11" borderId="4" xfId="0" applyNumberFormat="1" applyFill="1" applyBorder="1" applyAlignment="1">
      <alignment horizontal="center"/>
    </xf>
    <xf numFmtId="2" fontId="0" fillId="11" borderId="3" xfId="0" applyNumberFormat="1" applyFill="1" applyBorder="1" applyAlignment="1">
      <alignment horizontal="center"/>
    </xf>
    <xf numFmtId="0" fontId="0" fillId="16" borderId="2" xfId="0" applyFill="1" applyBorder="1"/>
    <xf numFmtId="14" fontId="0" fillId="16" borderId="2" xfId="0" applyNumberFormat="1" applyFill="1" applyBorder="1"/>
    <xf numFmtId="2" fontId="0" fillId="16" borderId="2" xfId="0" applyNumberFormat="1" applyFill="1" applyBorder="1"/>
    <xf numFmtId="2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2" borderId="1" xfId="0" applyFill="1" applyBorder="1"/>
    <xf numFmtId="14" fontId="0" fillId="2" borderId="1" xfId="0" applyNumberFormat="1" applyFill="1" applyBorder="1"/>
    <xf numFmtId="2" fontId="0" fillId="2" borderId="1" xfId="0" applyNumberFormat="1" applyFill="1" applyBorder="1"/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18" borderId="1" xfId="0" applyFill="1" applyBorder="1"/>
    <xf numFmtId="14" fontId="0" fillId="18" borderId="1" xfId="0" applyNumberFormat="1" applyFill="1" applyBorder="1"/>
    <xf numFmtId="2" fontId="0" fillId="18" borderId="1" xfId="0" applyNumberFormat="1" applyFill="1" applyBorder="1"/>
    <xf numFmtId="2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wrapText="1"/>
    </xf>
    <xf numFmtId="14" fontId="0" fillId="5" borderId="1" xfId="0" applyNumberFormat="1" applyFill="1" applyBorder="1"/>
    <xf numFmtId="0" fontId="0" fillId="18" borderId="0" xfId="0" applyFill="1"/>
    <xf numFmtId="2" fontId="0" fillId="5" borderId="1" xfId="0" applyNumberFormat="1" applyFill="1" applyBorder="1" applyAlignment="1">
      <alignment horizontal="center" vertical="center"/>
    </xf>
    <xf numFmtId="2" fontId="0" fillId="12" borderId="2" xfId="0" applyNumberFormat="1" applyFill="1" applyBorder="1"/>
    <xf numFmtId="2" fontId="0" fillId="12" borderId="4" xfId="0" applyNumberFormat="1" applyFill="1" applyBorder="1"/>
    <xf numFmtId="2" fontId="0" fillId="12" borderId="3" xfId="0" applyNumberFormat="1" applyFill="1" applyBorder="1"/>
    <xf numFmtId="2" fontId="0" fillId="8" borderId="2" xfId="0" applyNumberFormat="1" applyFill="1" applyBorder="1"/>
    <xf numFmtId="2" fontId="0" fillId="8" borderId="4" xfId="0" applyNumberFormat="1" applyFill="1" applyBorder="1"/>
    <xf numFmtId="2" fontId="0" fillId="8" borderId="3" xfId="0" applyNumberFormat="1" applyFill="1" applyBorder="1"/>
    <xf numFmtId="2" fontId="0" fillId="6" borderId="2" xfId="0" applyNumberFormat="1" applyFill="1" applyBorder="1"/>
    <xf numFmtId="2" fontId="0" fillId="6" borderId="4" xfId="0" applyNumberFormat="1" applyFill="1" applyBorder="1"/>
    <xf numFmtId="2" fontId="0" fillId="3" borderId="2" xfId="0" applyNumberFormat="1" applyFill="1" applyBorder="1"/>
    <xf numFmtId="2" fontId="0" fillId="3" borderId="4" xfId="0" applyNumberFormat="1" applyFill="1" applyBorder="1"/>
    <xf numFmtId="2" fontId="0" fillId="3" borderId="3" xfId="0" applyNumberFormat="1" applyFill="1" applyBorder="1"/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/>
    </xf>
    <xf numFmtId="14" fontId="0" fillId="9" borderId="1" xfId="0" applyNumberFormat="1" applyFill="1" applyBorder="1" applyAlignment="1">
      <alignment vertical="center"/>
    </xf>
    <xf numFmtId="14" fontId="0" fillId="17" borderId="1" xfId="0" applyNumberFormat="1" applyFill="1" applyBorder="1" applyAlignment="1">
      <alignment vertical="center"/>
    </xf>
    <xf numFmtId="14" fontId="0" fillId="10" borderId="1" xfId="0" applyNumberFormat="1" applyFill="1" applyBorder="1" applyAlignment="1">
      <alignment vertical="center"/>
    </xf>
    <xf numFmtId="14" fontId="0" fillId="6" borderId="1" xfId="0" applyNumberFormat="1" applyFill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14" fontId="0" fillId="7" borderId="1" xfId="0" applyNumberFormat="1" applyFill="1" applyBorder="1" applyAlignment="1">
      <alignment vertical="center"/>
    </xf>
    <xf numFmtId="14" fontId="0" fillId="14" borderId="1" xfId="0" applyNumberFormat="1" applyFill="1" applyBorder="1" applyAlignment="1">
      <alignment vertical="center"/>
    </xf>
    <xf numFmtId="14" fontId="0" fillId="2" borderId="1" xfId="0" applyNumberFormat="1" applyFill="1" applyBorder="1" applyAlignment="1">
      <alignment vertical="center"/>
    </xf>
    <xf numFmtId="14" fontId="0" fillId="18" borderId="1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15" fontId="0" fillId="0" borderId="0" xfId="0" applyNumberFormat="1"/>
    <xf numFmtId="14" fontId="0" fillId="0" borderId="0" xfId="0" applyNumberFormat="1"/>
    <xf numFmtId="0" fontId="0" fillId="15" borderId="5" xfId="0" applyFill="1" applyBorder="1"/>
    <xf numFmtId="0" fontId="0" fillId="15" borderId="4" xfId="0" applyFill="1" applyBorder="1"/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2" fontId="0" fillId="5" borderId="2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0" fillId="12" borderId="2" xfId="0" applyNumberFormat="1" applyFill="1" applyBorder="1" applyAlignment="1">
      <alignment horizontal="center" vertical="center"/>
    </xf>
    <xf numFmtId="14" fontId="0" fillId="12" borderId="4" xfId="0" applyNumberFormat="1" applyFill="1" applyBorder="1" applyAlignment="1">
      <alignment horizontal="center" vertical="center"/>
    </xf>
    <xf numFmtId="14" fontId="0" fillId="12" borderId="3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2" xfId="0" applyFill="1" applyBorder="1" applyAlignment="1">
      <alignment horizontal="center" wrapText="1"/>
    </xf>
    <xf numFmtId="0" fontId="0" fillId="12" borderId="4" xfId="0" applyFill="1" applyBorder="1" applyAlignment="1">
      <alignment horizontal="center" wrapText="1"/>
    </xf>
    <xf numFmtId="0" fontId="0" fillId="12" borderId="3" xfId="0" applyFill="1" applyBorder="1" applyAlignment="1">
      <alignment horizont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2" fontId="0" fillId="13" borderId="2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14" fontId="0" fillId="11" borderId="2" xfId="0" applyNumberFormat="1" applyFill="1" applyBorder="1" applyAlignment="1">
      <alignment horizontal="center" vertical="center"/>
    </xf>
    <xf numFmtId="14" fontId="0" fillId="11" borderId="4" xfId="0" applyNumberFormat="1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2" fontId="0" fillId="11" borderId="2" xfId="0" applyNumberForma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2" fontId="0" fillId="11" borderId="4" xfId="0" applyNumberFormat="1" applyFill="1" applyBorder="1" applyAlignment="1">
      <alignment horizontal="center"/>
    </xf>
    <xf numFmtId="2" fontId="0" fillId="11" borderId="3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4" fontId="0" fillId="13" borderId="2" xfId="0" applyNumberFormat="1" applyFill="1" applyBorder="1" applyAlignment="1">
      <alignment horizontal="center" vertical="center"/>
    </xf>
    <xf numFmtId="14" fontId="0" fillId="13" borderId="4" xfId="0" applyNumberFormat="1" applyFill="1" applyBorder="1" applyAlignment="1">
      <alignment horizontal="center" vertical="center"/>
    </xf>
    <xf numFmtId="14" fontId="0" fillId="13" borderId="3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2" fontId="0" fillId="12" borderId="2" xfId="0" applyNumberFormat="1" applyFill="1" applyBorder="1" applyAlignment="1">
      <alignment horizontal="center" vertical="center"/>
    </xf>
    <xf numFmtId="2" fontId="0" fillId="12" borderId="4" xfId="0" applyNumberFormat="1" applyFill="1" applyBorder="1" applyAlignment="1">
      <alignment horizontal="center" vertical="center"/>
    </xf>
    <xf numFmtId="2" fontId="0" fillId="12" borderId="3" xfId="0" applyNumberFormat="1" applyFill="1" applyBorder="1" applyAlignment="1">
      <alignment horizontal="center" vertical="center"/>
    </xf>
    <xf numFmtId="2" fontId="0" fillId="12" borderId="2" xfId="0" applyNumberFormat="1" applyFill="1" applyBorder="1" applyAlignment="1">
      <alignment horizontal="center"/>
    </xf>
    <xf numFmtId="2" fontId="0" fillId="12" borderId="4" xfId="0" applyNumberFormat="1" applyFill="1" applyBorder="1" applyAlignment="1">
      <alignment horizontal="center"/>
    </xf>
    <xf numFmtId="2" fontId="0" fillId="12" borderId="3" xfId="0" applyNumberFormat="1" applyFill="1" applyBorder="1" applyAlignment="1">
      <alignment horizontal="center"/>
    </xf>
    <xf numFmtId="2" fontId="0" fillId="8" borderId="2" xfId="0" applyNumberFormat="1" applyFill="1" applyBorder="1" applyAlignment="1">
      <alignment horizontal="center" vertical="center"/>
    </xf>
    <xf numFmtId="2" fontId="0" fillId="8" borderId="4" xfId="0" applyNumberFormat="1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 wrapText="1"/>
    </xf>
    <xf numFmtId="2" fontId="0" fillId="6" borderId="2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15" borderId="2" xfId="0" applyNumberFormat="1" applyFill="1" applyBorder="1" applyAlignment="1">
      <alignment horizontal="center" vertical="center"/>
    </xf>
    <xf numFmtId="14" fontId="0" fillId="15" borderId="4" xfId="0" applyNumberFormat="1" applyFill="1" applyBorder="1" applyAlignment="1">
      <alignment horizontal="center" vertical="center"/>
    </xf>
    <xf numFmtId="14" fontId="0" fillId="15" borderId="3" xfId="0" applyNumberForma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2" fontId="0" fillId="16" borderId="2" xfId="0" applyNumberFormat="1" applyFill="1" applyBorder="1" applyAlignment="1">
      <alignment horizontal="center" vertical="center"/>
    </xf>
    <xf numFmtId="2" fontId="0" fillId="16" borderId="4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>
      <alignment horizontal="center" vertical="center"/>
    </xf>
    <xf numFmtId="2" fontId="0" fillId="15" borderId="4" xfId="0" applyNumberFormat="1" applyFill="1" applyBorder="1" applyAlignment="1">
      <alignment horizontal="center" vertical="center"/>
    </xf>
    <xf numFmtId="2" fontId="0" fillId="15" borderId="3" xfId="0" applyNumberFormat="1" applyFill="1" applyBorder="1" applyAlignment="1">
      <alignment horizontal="center" vertical="center"/>
    </xf>
    <xf numFmtId="14" fontId="0" fillId="16" borderId="2" xfId="0" applyNumberFormat="1" applyFill="1" applyBorder="1" applyAlignment="1">
      <alignment horizontal="center" vertical="center"/>
    </xf>
    <xf numFmtId="14" fontId="0" fillId="16" borderId="4" xfId="0" applyNumberForma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6"/>
  <sheetViews>
    <sheetView tabSelected="1" topLeftCell="B1" workbookViewId="0">
      <pane ySplit="1" topLeftCell="A44" activePane="bottomLeft" state="frozen"/>
      <selection activeCell="L1" sqref="L1"/>
      <selection pane="bottomLeft" activeCell="B56" sqref="B56"/>
    </sheetView>
  </sheetViews>
  <sheetFormatPr defaultRowHeight="15" x14ac:dyDescent="0.25"/>
  <cols>
    <col min="1" max="1" width="18.85546875" hidden="1" customWidth="1"/>
    <col min="2" max="2" width="17.5703125" customWidth="1"/>
    <col min="3" max="3" width="12.85546875" customWidth="1"/>
    <col min="4" max="4" width="26.7109375" bestFit="1" customWidth="1"/>
    <col min="5" max="5" width="21.5703125" bestFit="1" customWidth="1"/>
    <col min="6" max="6" width="20.42578125" bestFit="1" customWidth="1"/>
    <col min="7" max="7" width="14.5703125" bestFit="1" customWidth="1"/>
    <col min="8" max="8" width="50.140625" bestFit="1" customWidth="1"/>
    <col min="9" max="9" width="11.7109375" customWidth="1"/>
    <col min="10" max="10" width="8" bestFit="1" customWidth="1"/>
    <col min="11" max="11" width="6.42578125" customWidth="1"/>
    <col min="12" max="12" width="13.5703125" style="3" bestFit="1" customWidth="1"/>
    <col min="13" max="13" width="11" bestFit="1" customWidth="1"/>
    <col min="14" max="14" width="15.42578125" style="3" bestFit="1" customWidth="1"/>
    <col min="15" max="15" width="15.42578125" customWidth="1"/>
    <col min="16" max="16" width="15.140625" bestFit="1" customWidth="1"/>
    <col min="18" max="18" width="14.7109375" style="3" bestFit="1" customWidth="1"/>
    <col min="19" max="19" width="11.5703125" style="3" bestFit="1" customWidth="1"/>
    <col min="21" max="21" width="11.140625" style="3" bestFit="1" customWidth="1"/>
    <col min="22" max="22" width="11.140625" style="12" customWidth="1"/>
    <col min="23" max="23" width="11.140625" style="13" customWidth="1"/>
    <col min="24" max="24" width="15.28515625" style="13" customWidth="1"/>
    <col min="25" max="25" width="9.140625" style="174"/>
    <col min="26" max="26" width="17.140625" customWidth="1"/>
    <col min="27" max="27" width="17.140625" style="14" customWidth="1"/>
    <col min="29" max="29" width="19.140625" customWidth="1"/>
    <col min="30" max="30" width="31.85546875" bestFit="1" customWidth="1"/>
    <col min="31" max="31" width="31.5703125" customWidth="1"/>
    <col min="32" max="32" width="13.140625" customWidth="1"/>
    <col min="36" max="41" width="9.140625" style="3"/>
    <col min="42" max="42" width="12" style="3" customWidth="1"/>
    <col min="43" max="43" width="10.5703125" customWidth="1"/>
    <col min="44" max="44" width="10.5703125" style="3" customWidth="1"/>
    <col min="48" max="48" width="9.140625" style="3"/>
  </cols>
  <sheetData>
    <row r="1" spans="1:48" s="14" customFormat="1" ht="27.75" customHeigh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57</v>
      </c>
      <c r="I1" s="15" t="s">
        <v>128</v>
      </c>
      <c r="J1" s="15" t="s">
        <v>63</v>
      </c>
      <c r="K1" s="15" t="s">
        <v>64</v>
      </c>
      <c r="L1" s="16" t="s">
        <v>7</v>
      </c>
      <c r="M1" s="15" t="s">
        <v>58</v>
      </c>
      <c r="N1" s="16" t="s">
        <v>8</v>
      </c>
      <c r="O1" s="15" t="s">
        <v>59</v>
      </c>
      <c r="P1" s="15" t="s">
        <v>9</v>
      </c>
      <c r="Q1" s="15" t="s">
        <v>65</v>
      </c>
      <c r="R1" s="16" t="s">
        <v>10</v>
      </c>
      <c r="S1" s="16" t="s">
        <v>60</v>
      </c>
      <c r="T1" s="15" t="s">
        <v>11</v>
      </c>
      <c r="U1" s="16" t="s">
        <v>35</v>
      </c>
      <c r="V1" s="17"/>
      <c r="W1" s="18" t="s">
        <v>61</v>
      </c>
      <c r="X1" s="18" t="s">
        <v>36</v>
      </c>
      <c r="Y1" s="163" t="s">
        <v>66</v>
      </c>
      <c r="Z1" s="15" t="s">
        <v>73</v>
      </c>
      <c r="AA1" s="15" t="s">
        <v>67</v>
      </c>
      <c r="AB1" s="15" t="s">
        <v>68</v>
      </c>
      <c r="AC1" s="15" t="s">
        <v>69</v>
      </c>
      <c r="AD1" s="15" t="s">
        <v>70</v>
      </c>
      <c r="AE1" s="15" t="s">
        <v>71</v>
      </c>
      <c r="AF1" s="15" t="s">
        <v>128</v>
      </c>
      <c r="AG1" s="15" t="s">
        <v>64</v>
      </c>
      <c r="AH1" s="15" t="s">
        <v>72</v>
      </c>
      <c r="AI1" s="16" t="s">
        <v>7</v>
      </c>
      <c r="AJ1" s="16" t="s">
        <v>58</v>
      </c>
      <c r="AK1" s="16" t="s">
        <v>8</v>
      </c>
      <c r="AL1" s="16" t="s">
        <v>59</v>
      </c>
      <c r="AM1" s="16" t="s">
        <v>9</v>
      </c>
      <c r="AN1" s="16" t="s">
        <v>65</v>
      </c>
      <c r="AO1" s="16" t="s">
        <v>10</v>
      </c>
      <c r="AP1" s="16" t="s">
        <v>60</v>
      </c>
      <c r="AQ1" s="15" t="s">
        <v>11</v>
      </c>
      <c r="AR1" s="16"/>
      <c r="AS1" s="16" t="s">
        <v>35</v>
      </c>
      <c r="AT1" s="17"/>
      <c r="AU1" s="18" t="s">
        <v>61</v>
      </c>
      <c r="AV1" s="17" t="s">
        <v>36</v>
      </c>
    </row>
    <row r="2" spans="1:48" s="1" customFormat="1" x14ac:dyDescent="0.25">
      <c r="A2" s="5" t="s">
        <v>12</v>
      </c>
      <c r="B2" s="231" t="s">
        <v>26</v>
      </c>
      <c r="C2" s="232">
        <v>46118</v>
      </c>
      <c r="D2" s="231" t="s">
        <v>27</v>
      </c>
      <c r="E2" s="231" t="s">
        <v>14</v>
      </c>
      <c r="F2" s="231" t="s">
        <v>15</v>
      </c>
      <c r="G2" s="231" t="s">
        <v>16</v>
      </c>
      <c r="H2" s="19" t="s">
        <v>55</v>
      </c>
      <c r="I2" s="19">
        <v>84439959</v>
      </c>
      <c r="J2" s="19">
        <v>932.2</v>
      </c>
      <c r="K2" s="19">
        <v>1</v>
      </c>
      <c r="L2" s="20">
        <f t="shared" ref="L2:L26" si="0">J2*K2</f>
        <v>932.2</v>
      </c>
      <c r="M2" s="19">
        <v>9</v>
      </c>
      <c r="N2" s="20">
        <f t="shared" ref="N2:N20" si="1">(M2*L2)/100</f>
        <v>83.89800000000001</v>
      </c>
      <c r="O2" s="19">
        <v>9</v>
      </c>
      <c r="P2" s="20">
        <f t="shared" ref="P2:P20" si="2">(O2*L2)/100</f>
        <v>83.89800000000001</v>
      </c>
      <c r="Q2" s="19"/>
      <c r="R2" s="20">
        <f t="shared" ref="R2:R26" si="3">(Q2*L2)/100</f>
        <v>0</v>
      </c>
      <c r="S2" s="20">
        <f t="shared" ref="S2:S26" si="4">N2+P2+R2</f>
        <v>167.79600000000002</v>
      </c>
      <c r="T2" s="19">
        <v>932.2</v>
      </c>
      <c r="U2" s="20">
        <f t="shared" ref="U2:U26" si="5">(T2+S2)</f>
        <v>1099.9960000000001</v>
      </c>
      <c r="V2" s="21">
        <f>U2+U3</f>
        <v>1589.991</v>
      </c>
      <c r="W2" s="119">
        <f>X2-V2</f>
        <v>9.0000000000145519E-3</v>
      </c>
      <c r="X2" s="74">
        <v>1590</v>
      </c>
      <c r="Y2" s="186">
        <v>46118</v>
      </c>
      <c r="Z2" s="235" t="s">
        <v>74</v>
      </c>
      <c r="AA2" s="236" t="s">
        <v>75</v>
      </c>
      <c r="AB2" s="234" t="s">
        <v>76</v>
      </c>
      <c r="AC2" s="234" t="s">
        <v>77</v>
      </c>
      <c r="AD2" s="234" t="s">
        <v>78</v>
      </c>
      <c r="AE2" s="19" t="s">
        <v>55</v>
      </c>
      <c r="AF2" s="19">
        <v>84439959</v>
      </c>
      <c r="AG2" s="19">
        <v>1</v>
      </c>
      <c r="AH2" s="19">
        <v>1289.8399999999999</v>
      </c>
      <c r="AI2" s="19">
        <f>AH2*AG2</f>
        <v>1289.8399999999999</v>
      </c>
      <c r="AJ2" s="20">
        <v>9</v>
      </c>
      <c r="AK2" s="20">
        <f>(AJ2*AI2)/100</f>
        <v>116.0856</v>
      </c>
      <c r="AL2" s="20">
        <v>9</v>
      </c>
      <c r="AM2" s="20">
        <f>AK2</f>
        <v>116.0856</v>
      </c>
      <c r="AN2" s="20"/>
      <c r="AO2" s="20"/>
      <c r="AP2" s="20">
        <f>AK2+AM2+AO2</f>
        <v>232.1712</v>
      </c>
      <c r="AQ2" s="20">
        <f>AH2+AP2</f>
        <v>1522.0111999999999</v>
      </c>
      <c r="AR2" s="20"/>
      <c r="AS2" s="233">
        <f>AQ2+AQ3</f>
        <v>2200.0038</v>
      </c>
      <c r="AT2" s="19"/>
      <c r="AU2" s="19"/>
      <c r="AV2" s="203">
        <v>2200</v>
      </c>
    </row>
    <row r="3" spans="1:48" s="1" customFormat="1" x14ac:dyDescent="0.25">
      <c r="A3" s="5" t="s">
        <v>12</v>
      </c>
      <c r="B3" s="231"/>
      <c r="C3" s="232"/>
      <c r="D3" s="231"/>
      <c r="E3" s="231"/>
      <c r="F3" s="231"/>
      <c r="G3" s="231"/>
      <c r="H3" s="19" t="s">
        <v>56</v>
      </c>
      <c r="I3" s="19">
        <v>3215</v>
      </c>
      <c r="J3" s="19">
        <v>415.25</v>
      </c>
      <c r="K3" s="19">
        <v>1</v>
      </c>
      <c r="L3" s="20">
        <f t="shared" si="0"/>
        <v>415.25</v>
      </c>
      <c r="M3" s="19">
        <v>9</v>
      </c>
      <c r="N3" s="20">
        <f t="shared" si="1"/>
        <v>37.372500000000002</v>
      </c>
      <c r="O3" s="19">
        <v>9</v>
      </c>
      <c r="P3" s="20">
        <f t="shared" si="2"/>
        <v>37.372500000000002</v>
      </c>
      <c r="Q3" s="19"/>
      <c r="R3" s="20">
        <f t="shared" si="3"/>
        <v>0</v>
      </c>
      <c r="S3" s="20">
        <f t="shared" si="4"/>
        <v>74.745000000000005</v>
      </c>
      <c r="T3" s="19">
        <v>415.25</v>
      </c>
      <c r="U3" s="20">
        <f t="shared" si="5"/>
        <v>489.995</v>
      </c>
      <c r="V3" s="21"/>
      <c r="W3" s="119"/>
      <c r="X3" s="74"/>
      <c r="Y3" s="187"/>
      <c r="Z3" s="235"/>
      <c r="AA3" s="236"/>
      <c r="AB3" s="234"/>
      <c r="AC3" s="234"/>
      <c r="AD3" s="234"/>
      <c r="AE3" s="19" t="s">
        <v>56</v>
      </c>
      <c r="AF3" s="19">
        <v>3215</v>
      </c>
      <c r="AG3" s="19">
        <v>1</v>
      </c>
      <c r="AH3" s="19">
        <v>574.57000000000005</v>
      </c>
      <c r="AI3" s="19">
        <f>AH3*AG3</f>
        <v>574.57000000000005</v>
      </c>
      <c r="AJ3" s="20">
        <v>9</v>
      </c>
      <c r="AK3" s="20">
        <f>(AJ3*AI3)/100</f>
        <v>51.711300000000001</v>
      </c>
      <c r="AL3" s="20">
        <v>9</v>
      </c>
      <c r="AM3" s="20">
        <f>AK3</f>
        <v>51.711300000000001</v>
      </c>
      <c r="AN3" s="20"/>
      <c r="AO3" s="20"/>
      <c r="AP3" s="20">
        <f>AK3+AM3+AO3</f>
        <v>103.4226</v>
      </c>
      <c r="AQ3" s="20">
        <f>AH3+AP3</f>
        <v>677.99260000000004</v>
      </c>
      <c r="AR3" s="20"/>
      <c r="AS3" s="234"/>
      <c r="AT3" s="19"/>
      <c r="AU3" s="19"/>
      <c r="AV3" s="204"/>
    </row>
    <row r="4" spans="1:48" s="4" customFormat="1" x14ac:dyDescent="0.25">
      <c r="A4" s="4" t="s">
        <v>12</v>
      </c>
      <c r="B4" s="22" t="s">
        <v>23</v>
      </c>
      <c r="C4" s="23">
        <v>46121</v>
      </c>
      <c r="D4" s="22" t="s">
        <v>24</v>
      </c>
      <c r="E4" s="22" t="s">
        <v>14</v>
      </c>
      <c r="F4" s="22" t="s">
        <v>15</v>
      </c>
      <c r="G4" s="22" t="s">
        <v>16</v>
      </c>
      <c r="H4" s="22" t="s">
        <v>54</v>
      </c>
      <c r="I4" s="22">
        <v>85258900</v>
      </c>
      <c r="J4" s="22">
        <v>1700</v>
      </c>
      <c r="K4" s="22">
        <v>1</v>
      </c>
      <c r="L4" s="24">
        <f t="shared" si="0"/>
        <v>1700</v>
      </c>
      <c r="M4" s="22">
        <v>9</v>
      </c>
      <c r="N4" s="24">
        <f t="shared" si="1"/>
        <v>153</v>
      </c>
      <c r="O4" s="22">
        <v>9</v>
      </c>
      <c r="P4" s="24">
        <f t="shared" si="2"/>
        <v>153</v>
      </c>
      <c r="Q4" s="22"/>
      <c r="R4" s="24">
        <f t="shared" si="3"/>
        <v>0</v>
      </c>
      <c r="S4" s="24">
        <f t="shared" si="4"/>
        <v>306</v>
      </c>
      <c r="T4" s="22">
        <v>1700</v>
      </c>
      <c r="U4" s="24">
        <f t="shared" si="5"/>
        <v>2006</v>
      </c>
      <c r="V4" s="25">
        <f>U4+U5</f>
        <v>4956</v>
      </c>
      <c r="W4" s="120">
        <f>X4-V4</f>
        <v>0</v>
      </c>
      <c r="X4" s="126">
        <v>4956</v>
      </c>
      <c r="Y4" s="164"/>
      <c r="Z4" s="222" t="s">
        <v>79</v>
      </c>
      <c r="AA4" s="220" t="s">
        <v>112</v>
      </c>
      <c r="AB4" s="222" t="s">
        <v>76</v>
      </c>
      <c r="AC4" s="222" t="s">
        <v>77</v>
      </c>
      <c r="AD4" s="222" t="s">
        <v>113</v>
      </c>
      <c r="AE4" s="22"/>
      <c r="AF4" s="22">
        <v>85258900</v>
      </c>
      <c r="AG4" s="22"/>
      <c r="AH4" s="22"/>
      <c r="AI4" s="22"/>
      <c r="AJ4" s="24"/>
      <c r="AK4" s="24"/>
      <c r="AL4" s="24"/>
      <c r="AM4" s="24"/>
      <c r="AN4" s="24"/>
      <c r="AO4" s="24"/>
      <c r="AP4" s="24"/>
      <c r="AQ4" s="22"/>
      <c r="AR4" s="24"/>
      <c r="AS4" s="22"/>
      <c r="AT4" s="22"/>
      <c r="AU4" s="22"/>
      <c r="AV4" s="24"/>
    </row>
    <row r="5" spans="1:48" s="4" customFormat="1" x14ac:dyDescent="0.25">
      <c r="A5" s="4" t="s">
        <v>12</v>
      </c>
      <c r="B5" s="22" t="s">
        <v>23</v>
      </c>
      <c r="C5" s="23">
        <v>46121</v>
      </c>
      <c r="D5" s="22" t="s">
        <v>24</v>
      </c>
      <c r="E5" s="22" t="s">
        <v>14</v>
      </c>
      <c r="F5" s="22" t="s">
        <v>15</v>
      </c>
      <c r="G5" s="22" t="s">
        <v>16</v>
      </c>
      <c r="H5" s="22" t="s">
        <v>42</v>
      </c>
      <c r="I5" s="22">
        <v>85258900</v>
      </c>
      <c r="J5" s="22">
        <v>2500</v>
      </c>
      <c r="K5" s="22">
        <v>1</v>
      </c>
      <c r="L5" s="24">
        <f t="shared" si="0"/>
        <v>2500</v>
      </c>
      <c r="M5" s="22">
        <v>9</v>
      </c>
      <c r="N5" s="24">
        <f t="shared" si="1"/>
        <v>225</v>
      </c>
      <c r="O5" s="22">
        <v>9</v>
      </c>
      <c r="P5" s="24">
        <f t="shared" si="2"/>
        <v>225</v>
      </c>
      <c r="Q5" s="22"/>
      <c r="R5" s="24">
        <f t="shared" si="3"/>
        <v>0</v>
      </c>
      <c r="S5" s="24">
        <f t="shared" si="4"/>
        <v>450</v>
      </c>
      <c r="T5" s="22">
        <v>2500</v>
      </c>
      <c r="U5" s="24">
        <f t="shared" si="5"/>
        <v>2950</v>
      </c>
      <c r="V5" s="25"/>
      <c r="W5" s="120"/>
      <c r="X5" s="126"/>
      <c r="Y5" s="164"/>
      <c r="Z5" s="223"/>
      <c r="AA5" s="221"/>
      <c r="AB5" s="223"/>
      <c r="AC5" s="223"/>
      <c r="AD5" s="223"/>
      <c r="AE5" s="22"/>
      <c r="AF5" s="22">
        <v>85258900</v>
      </c>
      <c r="AG5" s="22"/>
      <c r="AH5" s="22"/>
      <c r="AI5" s="22"/>
      <c r="AJ5" s="24"/>
      <c r="AK5" s="24"/>
      <c r="AL5" s="24"/>
      <c r="AM5" s="24"/>
      <c r="AN5" s="24"/>
      <c r="AO5" s="24"/>
      <c r="AP5" s="24"/>
      <c r="AQ5" s="22"/>
      <c r="AR5" s="24"/>
      <c r="AS5" s="22"/>
      <c r="AT5" s="22"/>
      <c r="AU5" s="22"/>
      <c r="AV5" s="24"/>
    </row>
    <row r="6" spans="1:48" s="9" customFormat="1" x14ac:dyDescent="0.25">
      <c r="A6" s="9" t="s">
        <v>12</v>
      </c>
      <c r="B6" s="38" t="s">
        <v>30</v>
      </c>
      <c r="C6" s="39">
        <v>46130</v>
      </c>
      <c r="D6" s="38" t="s">
        <v>29</v>
      </c>
      <c r="E6" s="38" t="s">
        <v>14</v>
      </c>
      <c r="F6" s="38" t="s">
        <v>15</v>
      </c>
      <c r="G6" s="38" t="s">
        <v>16</v>
      </c>
      <c r="H6" s="38" t="s">
        <v>53</v>
      </c>
      <c r="I6" s="38">
        <v>84733030</v>
      </c>
      <c r="J6" s="38">
        <v>4200</v>
      </c>
      <c r="K6" s="38">
        <v>1</v>
      </c>
      <c r="L6" s="40">
        <f t="shared" si="0"/>
        <v>4200</v>
      </c>
      <c r="M6" s="38">
        <v>9</v>
      </c>
      <c r="N6" s="40">
        <f t="shared" si="1"/>
        <v>378</v>
      </c>
      <c r="O6" s="38">
        <v>9</v>
      </c>
      <c r="P6" s="40">
        <f t="shared" si="2"/>
        <v>378</v>
      </c>
      <c r="Q6" s="38"/>
      <c r="R6" s="40">
        <f t="shared" si="3"/>
        <v>0</v>
      </c>
      <c r="S6" s="40">
        <f t="shared" si="4"/>
        <v>756</v>
      </c>
      <c r="T6" s="38">
        <v>4200</v>
      </c>
      <c r="U6" s="40">
        <f t="shared" si="5"/>
        <v>4956</v>
      </c>
      <c r="V6" s="41">
        <f>U6</f>
        <v>4956</v>
      </c>
      <c r="W6" s="59">
        <f>X6-V6</f>
        <v>0</v>
      </c>
      <c r="X6" s="42">
        <v>4956</v>
      </c>
      <c r="Y6" s="165">
        <v>46130</v>
      </c>
      <c r="Z6" s="38" t="s">
        <v>80</v>
      </c>
      <c r="AA6" s="110" t="s">
        <v>114</v>
      </c>
      <c r="AB6" s="38" t="s">
        <v>76</v>
      </c>
      <c r="AC6" s="38" t="s">
        <v>77</v>
      </c>
      <c r="AD6" s="38" t="s">
        <v>115</v>
      </c>
      <c r="AE6" s="38" t="s">
        <v>53</v>
      </c>
      <c r="AF6" s="38">
        <v>84733030</v>
      </c>
      <c r="AG6" s="38">
        <v>1</v>
      </c>
      <c r="AH6" s="38">
        <v>4491.53</v>
      </c>
      <c r="AI6" s="40">
        <f t="shared" ref="AI6" si="6">AG6*AH6</f>
        <v>4491.53</v>
      </c>
      <c r="AJ6" s="40">
        <v>9</v>
      </c>
      <c r="AK6" s="40">
        <f t="shared" ref="AK6:AK9" si="7">(AJ6*AI6)/100</f>
        <v>404.23769999999996</v>
      </c>
      <c r="AL6" s="40">
        <v>9</v>
      </c>
      <c r="AM6" s="40">
        <f t="shared" ref="AM6:AM9" si="8">(AL6*AI6)/100</f>
        <v>404.23769999999996</v>
      </c>
      <c r="AN6" s="40"/>
      <c r="AO6" s="40">
        <f t="shared" ref="AO6" si="9">(AN6*AI6)/100</f>
        <v>0</v>
      </c>
      <c r="AP6" s="40">
        <f t="shared" ref="AP6:AP9" si="10">AK6+AM6+AO6</f>
        <v>808.47539999999992</v>
      </c>
      <c r="AQ6" s="38">
        <v>4491.53</v>
      </c>
      <c r="AR6" s="40"/>
      <c r="AS6" s="40">
        <f t="shared" ref="AS6" si="11">(AQ6+AP6)</f>
        <v>5300.0054</v>
      </c>
      <c r="AT6" s="41"/>
      <c r="AU6" s="59">
        <f>AV6-AS6</f>
        <v>-5.4000000000087311E-3</v>
      </c>
      <c r="AV6" s="41">
        <v>5300</v>
      </c>
    </row>
    <row r="7" spans="1:48" s="11" customFormat="1" x14ac:dyDescent="0.25">
      <c r="A7" s="11" t="s">
        <v>12</v>
      </c>
      <c r="B7" s="26" t="s">
        <v>22</v>
      </c>
      <c r="C7" s="27">
        <v>46132</v>
      </c>
      <c r="D7" s="26" t="s">
        <v>18</v>
      </c>
      <c r="E7" s="26" t="s">
        <v>14</v>
      </c>
      <c r="F7" s="26" t="s">
        <v>15</v>
      </c>
      <c r="G7" s="26" t="s">
        <v>16</v>
      </c>
      <c r="H7" s="26" t="s">
        <v>50</v>
      </c>
      <c r="I7" s="26">
        <v>8523</v>
      </c>
      <c r="J7" s="26">
        <v>2669.49</v>
      </c>
      <c r="K7" s="26">
        <v>1</v>
      </c>
      <c r="L7" s="28">
        <f t="shared" si="0"/>
        <v>2669.49</v>
      </c>
      <c r="M7" s="26">
        <v>9</v>
      </c>
      <c r="N7" s="28">
        <f t="shared" si="1"/>
        <v>240.25409999999997</v>
      </c>
      <c r="O7" s="26">
        <v>9</v>
      </c>
      <c r="P7" s="28">
        <f t="shared" si="2"/>
        <v>240.25409999999997</v>
      </c>
      <c r="Q7" s="26"/>
      <c r="R7" s="28">
        <f t="shared" si="3"/>
        <v>0</v>
      </c>
      <c r="S7" s="28">
        <f t="shared" si="4"/>
        <v>480.50819999999993</v>
      </c>
      <c r="T7" s="26">
        <v>2669.49</v>
      </c>
      <c r="U7" s="28">
        <f t="shared" si="5"/>
        <v>3149.9981999999995</v>
      </c>
      <c r="V7" s="29">
        <f>U7+U8+U9</f>
        <v>5650.0051999999996</v>
      </c>
      <c r="W7" s="121">
        <f>X7-V7</f>
        <v>-5.1999999996041879E-3</v>
      </c>
      <c r="X7" s="127">
        <v>5650</v>
      </c>
      <c r="Y7" s="205">
        <v>46133</v>
      </c>
      <c r="Z7" s="208" t="s">
        <v>81</v>
      </c>
      <c r="AA7" s="217" t="s">
        <v>116</v>
      </c>
      <c r="AB7" s="208" t="s">
        <v>76</v>
      </c>
      <c r="AC7" s="208" t="s">
        <v>77</v>
      </c>
      <c r="AD7" s="208" t="s">
        <v>117</v>
      </c>
      <c r="AE7" s="26" t="s">
        <v>50</v>
      </c>
      <c r="AF7" s="26">
        <v>8523</v>
      </c>
      <c r="AG7" s="26">
        <v>1</v>
      </c>
      <c r="AH7" s="26">
        <v>2834.86</v>
      </c>
      <c r="AI7" s="26">
        <f>AH7*AG7</f>
        <v>2834.86</v>
      </c>
      <c r="AJ7" s="28">
        <v>9</v>
      </c>
      <c r="AK7" s="28">
        <f t="shared" si="7"/>
        <v>255.13740000000001</v>
      </c>
      <c r="AL7" s="28">
        <v>9</v>
      </c>
      <c r="AM7" s="28">
        <f t="shared" si="8"/>
        <v>255.13740000000001</v>
      </c>
      <c r="AN7" s="28"/>
      <c r="AO7" s="28"/>
      <c r="AP7" s="28">
        <f t="shared" si="10"/>
        <v>510.27480000000003</v>
      </c>
      <c r="AQ7" s="211">
        <f>AI7+AI8+AI9+AP7+AP8+AP9</f>
        <v>6000.0050000000001</v>
      </c>
      <c r="AR7" s="128"/>
      <c r="AS7" s="211"/>
      <c r="AT7" s="216"/>
      <c r="AU7" s="211">
        <f>AV7-AQ7</f>
        <v>-5.0000000001091394E-3</v>
      </c>
      <c r="AV7" s="211">
        <v>6000</v>
      </c>
    </row>
    <row r="8" spans="1:48" s="11" customFormat="1" x14ac:dyDescent="0.25">
      <c r="A8" s="11" t="s">
        <v>12</v>
      </c>
      <c r="B8" s="26" t="s">
        <v>22</v>
      </c>
      <c r="C8" s="27">
        <v>46132</v>
      </c>
      <c r="D8" s="26" t="s">
        <v>18</v>
      </c>
      <c r="E8" s="26" t="s">
        <v>14</v>
      </c>
      <c r="F8" s="26" t="s">
        <v>15</v>
      </c>
      <c r="G8" s="26" t="s">
        <v>16</v>
      </c>
      <c r="H8" s="26" t="s">
        <v>51</v>
      </c>
      <c r="I8" s="26">
        <v>84733099</v>
      </c>
      <c r="J8" s="26">
        <v>677.97</v>
      </c>
      <c r="K8" s="26">
        <v>1</v>
      </c>
      <c r="L8" s="28">
        <f t="shared" si="0"/>
        <v>677.97</v>
      </c>
      <c r="M8" s="26">
        <v>9</v>
      </c>
      <c r="N8" s="28">
        <f t="shared" si="1"/>
        <v>61.017300000000006</v>
      </c>
      <c r="O8" s="26">
        <v>9</v>
      </c>
      <c r="P8" s="28">
        <f t="shared" si="2"/>
        <v>61.017300000000006</v>
      </c>
      <c r="Q8" s="26"/>
      <c r="R8" s="28">
        <f t="shared" si="3"/>
        <v>0</v>
      </c>
      <c r="S8" s="28">
        <f t="shared" si="4"/>
        <v>122.03460000000001</v>
      </c>
      <c r="T8" s="26">
        <v>677.97</v>
      </c>
      <c r="U8" s="28">
        <f t="shared" si="5"/>
        <v>800.00459999999998</v>
      </c>
      <c r="V8" s="29"/>
      <c r="W8" s="121"/>
      <c r="X8" s="127"/>
      <c r="Y8" s="206"/>
      <c r="Z8" s="209"/>
      <c r="AA8" s="218"/>
      <c r="AB8" s="209"/>
      <c r="AC8" s="209"/>
      <c r="AD8" s="209"/>
      <c r="AE8" s="26" t="s">
        <v>51</v>
      </c>
      <c r="AF8" s="26">
        <v>84733099</v>
      </c>
      <c r="AG8" s="26">
        <v>1</v>
      </c>
      <c r="AH8" s="26">
        <v>719.97</v>
      </c>
      <c r="AI8" s="26">
        <f t="shared" ref="AI8:AI9" si="12">AH8*AG8</f>
        <v>719.97</v>
      </c>
      <c r="AJ8" s="28">
        <v>9</v>
      </c>
      <c r="AK8" s="28">
        <f t="shared" si="7"/>
        <v>64.797300000000007</v>
      </c>
      <c r="AL8" s="28">
        <v>9</v>
      </c>
      <c r="AM8" s="28">
        <f t="shared" si="8"/>
        <v>64.797300000000007</v>
      </c>
      <c r="AN8" s="28"/>
      <c r="AO8" s="28"/>
      <c r="AP8" s="28">
        <f t="shared" si="10"/>
        <v>129.59460000000001</v>
      </c>
      <c r="AQ8" s="212"/>
      <c r="AR8" s="129"/>
      <c r="AS8" s="212"/>
      <c r="AT8" s="212"/>
      <c r="AU8" s="212"/>
      <c r="AV8" s="214"/>
    </row>
    <row r="9" spans="1:48" s="11" customFormat="1" x14ac:dyDescent="0.25">
      <c r="A9" s="11" t="s">
        <v>12</v>
      </c>
      <c r="B9" s="26" t="s">
        <v>22</v>
      </c>
      <c r="C9" s="27">
        <v>46132</v>
      </c>
      <c r="D9" s="26" t="s">
        <v>18</v>
      </c>
      <c r="E9" s="26" t="s">
        <v>14</v>
      </c>
      <c r="F9" s="26" t="s">
        <v>15</v>
      </c>
      <c r="G9" s="26" t="s">
        <v>16</v>
      </c>
      <c r="H9" s="26" t="s">
        <v>52</v>
      </c>
      <c r="I9" s="26">
        <v>84733099</v>
      </c>
      <c r="J9" s="26">
        <v>1440.68</v>
      </c>
      <c r="K9" s="26">
        <v>1</v>
      </c>
      <c r="L9" s="28">
        <f t="shared" si="0"/>
        <v>1440.68</v>
      </c>
      <c r="M9" s="26">
        <v>9</v>
      </c>
      <c r="N9" s="28">
        <f t="shared" si="1"/>
        <v>129.66120000000001</v>
      </c>
      <c r="O9" s="26">
        <v>9</v>
      </c>
      <c r="P9" s="28">
        <f t="shared" si="2"/>
        <v>129.66120000000001</v>
      </c>
      <c r="Q9" s="26"/>
      <c r="R9" s="28">
        <f t="shared" si="3"/>
        <v>0</v>
      </c>
      <c r="S9" s="28">
        <f t="shared" si="4"/>
        <v>259.32240000000002</v>
      </c>
      <c r="T9" s="26">
        <v>1440.68</v>
      </c>
      <c r="U9" s="28">
        <f t="shared" si="5"/>
        <v>1700.0024000000001</v>
      </c>
      <c r="V9" s="29"/>
      <c r="W9" s="121"/>
      <c r="X9" s="127"/>
      <c r="Y9" s="207"/>
      <c r="Z9" s="210"/>
      <c r="AA9" s="219"/>
      <c r="AB9" s="210"/>
      <c r="AC9" s="210"/>
      <c r="AD9" s="210"/>
      <c r="AE9" s="26" t="s">
        <v>52</v>
      </c>
      <c r="AF9" s="26">
        <v>84733099</v>
      </c>
      <c r="AG9" s="26">
        <v>1</v>
      </c>
      <c r="AH9" s="26">
        <v>1529.92</v>
      </c>
      <c r="AI9" s="26">
        <f t="shared" si="12"/>
        <v>1529.92</v>
      </c>
      <c r="AJ9" s="28">
        <v>9</v>
      </c>
      <c r="AK9" s="28">
        <f t="shared" si="7"/>
        <v>137.69280000000001</v>
      </c>
      <c r="AL9" s="28">
        <v>9</v>
      </c>
      <c r="AM9" s="28">
        <f t="shared" si="8"/>
        <v>137.69280000000001</v>
      </c>
      <c r="AN9" s="28"/>
      <c r="AO9" s="28"/>
      <c r="AP9" s="28">
        <f t="shared" si="10"/>
        <v>275.38560000000001</v>
      </c>
      <c r="AQ9" s="213"/>
      <c r="AR9" s="130"/>
      <c r="AS9" s="213"/>
      <c r="AT9" s="213"/>
      <c r="AU9" s="213"/>
      <c r="AV9" s="215"/>
    </row>
    <row r="10" spans="1:48" s="105" customFormat="1" x14ac:dyDescent="0.25">
      <c r="A10" s="97" t="s">
        <v>12</v>
      </c>
      <c r="B10" s="98" t="s">
        <v>17</v>
      </c>
      <c r="C10" s="99">
        <v>46137</v>
      </c>
      <c r="D10" s="98" t="s">
        <v>18</v>
      </c>
      <c r="E10" s="98" t="s">
        <v>14</v>
      </c>
      <c r="F10" s="98" t="s">
        <v>15</v>
      </c>
      <c r="G10" s="98" t="s">
        <v>16</v>
      </c>
      <c r="H10" s="98" t="s">
        <v>49</v>
      </c>
      <c r="I10" s="98">
        <v>847170</v>
      </c>
      <c r="J10" s="98">
        <v>4491.53</v>
      </c>
      <c r="K10" s="98">
        <v>1</v>
      </c>
      <c r="L10" s="100">
        <f t="shared" si="0"/>
        <v>4491.53</v>
      </c>
      <c r="M10" s="98">
        <v>9</v>
      </c>
      <c r="N10" s="100">
        <f t="shared" si="1"/>
        <v>404.23769999999996</v>
      </c>
      <c r="O10" s="98">
        <v>9</v>
      </c>
      <c r="P10" s="100">
        <f t="shared" si="2"/>
        <v>404.23769999999996</v>
      </c>
      <c r="Q10" s="98"/>
      <c r="R10" s="100">
        <f t="shared" si="3"/>
        <v>0</v>
      </c>
      <c r="S10" s="100">
        <f t="shared" si="4"/>
        <v>808.47539999999992</v>
      </c>
      <c r="T10" s="98">
        <v>4491.53</v>
      </c>
      <c r="U10" s="100">
        <f t="shared" si="5"/>
        <v>5300.0054</v>
      </c>
      <c r="V10" s="101">
        <f>U10</f>
        <v>5300.0054</v>
      </c>
      <c r="W10" s="101">
        <f>X10-V10</f>
        <v>-5.4000000000087311E-3</v>
      </c>
      <c r="X10" s="102">
        <v>5300</v>
      </c>
      <c r="Y10" s="166">
        <v>46138</v>
      </c>
      <c r="Z10" s="103" t="s">
        <v>82</v>
      </c>
      <c r="AA10" s="111" t="s">
        <v>118</v>
      </c>
      <c r="AB10" s="103" t="s">
        <v>76</v>
      </c>
      <c r="AC10" s="103" t="s">
        <v>77</v>
      </c>
      <c r="AD10" s="103" t="s">
        <v>113</v>
      </c>
      <c r="AE10" s="98" t="s">
        <v>49</v>
      </c>
      <c r="AF10" s="98">
        <v>847170</v>
      </c>
      <c r="AG10" s="103">
        <v>1</v>
      </c>
      <c r="AH10" s="103">
        <v>4745.76</v>
      </c>
      <c r="AI10" s="103">
        <f>AH10*AG10</f>
        <v>4745.76</v>
      </c>
      <c r="AJ10" s="104">
        <v>9</v>
      </c>
      <c r="AK10" s="104">
        <f t="shared" ref="AK10:AK12" si="13">(AJ10*AI10)/100</f>
        <v>427.11840000000007</v>
      </c>
      <c r="AL10" s="104">
        <v>9</v>
      </c>
      <c r="AM10" s="104">
        <f t="shared" ref="AM10:AM12" si="14">(AL10*AI10)/100</f>
        <v>427.11840000000007</v>
      </c>
      <c r="AN10" s="104"/>
      <c r="AO10" s="104"/>
      <c r="AP10" s="104">
        <f t="shared" ref="AP10" si="15">AK10+AM10+AO10</f>
        <v>854.23680000000013</v>
      </c>
      <c r="AQ10" s="104">
        <f>AI10+AP10</f>
        <v>5599.9968000000008</v>
      </c>
      <c r="AR10" s="104"/>
      <c r="AS10" s="103"/>
      <c r="AT10" s="103"/>
      <c r="AU10" s="103"/>
      <c r="AV10" s="104">
        <v>5600</v>
      </c>
    </row>
    <row r="11" spans="1:48" s="10" customFormat="1" x14ac:dyDescent="0.25">
      <c r="A11" s="10" t="s">
        <v>12</v>
      </c>
      <c r="B11" s="33" t="s">
        <v>19</v>
      </c>
      <c r="C11" s="34">
        <v>46139</v>
      </c>
      <c r="D11" s="33" t="s">
        <v>18</v>
      </c>
      <c r="E11" s="33" t="s">
        <v>14</v>
      </c>
      <c r="F11" s="33" t="s">
        <v>15</v>
      </c>
      <c r="G11" s="33" t="s">
        <v>16</v>
      </c>
      <c r="H11" s="33" t="s">
        <v>48</v>
      </c>
      <c r="I11" s="33">
        <v>85044090</v>
      </c>
      <c r="J11" s="33">
        <v>1398.31</v>
      </c>
      <c r="K11" s="33">
        <v>1</v>
      </c>
      <c r="L11" s="35">
        <f t="shared" si="0"/>
        <v>1398.31</v>
      </c>
      <c r="M11" s="33">
        <v>9</v>
      </c>
      <c r="N11" s="35">
        <f t="shared" si="1"/>
        <v>125.8479</v>
      </c>
      <c r="O11" s="33">
        <v>9</v>
      </c>
      <c r="P11" s="35">
        <f t="shared" si="2"/>
        <v>125.8479</v>
      </c>
      <c r="Q11" s="33"/>
      <c r="R11" s="35">
        <f t="shared" si="3"/>
        <v>0</v>
      </c>
      <c r="S11" s="35">
        <f t="shared" si="4"/>
        <v>251.69579999999999</v>
      </c>
      <c r="T11" s="33">
        <v>1398.31</v>
      </c>
      <c r="U11" s="35">
        <f t="shared" si="5"/>
        <v>1650.0057999999999</v>
      </c>
      <c r="V11" s="36">
        <f>U11</f>
        <v>1650.0057999999999</v>
      </c>
      <c r="W11" s="36">
        <f>X11-V11</f>
        <v>-5.7999999999083229E-3</v>
      </c>
      <c r="X11" s="37">
        <v>1650</v>
      </c>
      <c r="Y11" s="167">
        <v>46139</v>
      </c>
      <c r="Z11" s="33" t="s">
        <v>83</v>
      </c>
      <c r="AA11" s="112" t="s">
        <v>119</v>
      </c>
      <c r="AB11" s="33" t="s">
        <v>76</v>
      </c>
      <c r="AC11" s="33" t="s">
        <v>77</v>
      </c>
      <c r="AD11" s="33" t="s">
        <v>113</v>
      </c>
      <c r="AE11" s="33" t="s">
        <v>48</v>
      </c>
      <c r="AF11" s="33">
        <v>85044090</v>
      </c>
      <c r="AG11" s="33">
        <v>1</v>
      </c>
      <c r="AH11" s="33">
        <v>1737.29</v>
      </c>
      <c r="AI11" s="35">
        <f t="shared" ref="AI11:AI12" si="16">AG11*AH11</f>
        <v>1737.29</v>
      </c>
      <c r="AJ11" s="35">
        <v>9</v>
      </c>
      <c r="AK11" s="35">
        <f t="shared" si="13"/>
        <v>156.3561</v>
      </c>
      <c r="AL11" s="35">
        <v>9</v>
      </c>
      <c r="AM11" s="35">
        <f t="shared" si="14"/>
        <v>156.3561</v>
      </c>
      <c r="AN11" s="35"/>
      <c r="AO11" s="35"/>
      <c r="AP11" s="35">
        <f>AM11+AK11</f>
        <v>312.7122</v>
      </c>
      <c r="AQ11" s="35">
        <f>AI11+AP11</f>
        <v>2050.0021999999999</v>
      </c>
      <c r="AR11" s="35"/>
      <c r="AS11" s="33"/>
      <c r="AT11" s="33"/>
      <c r="AU11" s="33"/>
      <c r="AV11" s="35"/>
    </row>
    <row r="12" spans="1:48" s="6" customFormat="1" x14ac:dyDescent="0.25">
      <c r="A12" s="6" t="s">
        <v>12</v>
      </c>
      <c r="B12" s="30" t="s">
        <v>20</v>
      </c>
      <c r="C12" s="51">
        <v>46142</v>
      </c>
      <c r="D12" s="30" t="s">
        <v>18</v>
      </c>
      <c r="E12" s="30" t="s">
        <v>14</v>
      </c>
      <c r="F12" s="30" t="s">
        <v>15</v>
      </c>
      <c r="G12" s="30" t="s">
        <v>16</v>
      </c>
      <c r="H12" s="30" t="s">
        <v>47</v>
      </c>
      <c r="I12" s="30">
        <v>8517</v>
      </c>
      <c r="J12" s="30">
        <v>364.41</v>
      </c>
      <c r="K12" s="30">
        <v>1</v>
      </c>
      <c r="L12" s="52">
        <f t="shared" si="0"/>
        <v>364.41</v>
      </c>
      <c r="M12" s="30">
        <v>9</v>
      </c>
      <c r="N12" s="52">
        <f t="shared" si="1"/>
        <v>32.796900000000001</v>
      </c>
      <c r="O12" s="30">
        <v>9</v>
      </c>
      <c r="P12" s="52">
        <f t="shared" si="2"/>
        <v>32.796900000000001</v>
      </c>
      <c r="Q12" s="30"/>
      <c r="R12" s="52">
        <f t="shared" si="3"/>
        <v>0</v>
      </c>
      <c r="S12" s="52">
        <f t="shared" si="4"/>
        <v>65.593800000000002</v>
      </c>
      <c r="T12" s="30">
        <v>364.41</v>
      </c>
      <c r="U12" s="52">
        <f t="shared" si="5"/>
        <v>430.00380000000001</v>
      </c>
      <c r="V12" s="53">
        <f>U12</f>
        <v>430.00380000000001</v>
      </c>
      <c r="W12" s="53">
        <f>X12-V12</f>
        <v>-3.8000000000124601E-3</v>
      </c>
      <c r="X12" s="54">
        <v>430</v>
      </c>
      <c r="Y12" s="168">
        <v>46142</v>
      </c>
      <c r="Z12" s="30" t="s">
        <v>84</v>
      </c>
      <c r="AA12" s="113" t="s">
        <v>120</v>
      </c>
      <c r="AB12" s="30" t="s">
        <v>76</v>
      </c>
      <c r="AC12" s="30" t="s">
        <v>77</v>
      </c>
      <c r="AD12" s="30" t="s">
        <v>113</v>
      </c>
      <c r="AE12" s="30" t="s">
        <v>47</v>
      </c>
      <c r="AF12" s="30">
        <v>8517</v>
      </c>
      <c r="AG12" s="30">
        <v>1</v>
      </c>
      <c r="AH12" s="30">
        <v>406.78</v>
      </c>
      <c r="AI12" s="30">
        <f t="shared" si="16"/>
        <v>406.78</v>
      </c>
      <c r="AJ12" s="52">
        <v>9</v>
      </c>
      <c r="AK12" s="52">
        <f t="shared" si="13"/>
        <v>36.610199999999992</v>
      </c>
      <c r="AL12" s="52">
        <v>9</v>
      </c>
      <c r="AM12" s="52">
        <f t="shared" si="14"/>
        <v>36.610199999999992</v>
      </c>
      <c r="AN12" s="52"/>
      <c r="AO12" s="52"/>
      <c r="AP12" s="52">
        <f>AM12+AK12</f>
        <v>73.220399999999984</v>
      </c>
      <c r="AQ12" s="52">
        <f>AP12+AI12</f>
        <v>480.00039999999996</v>
      </c>
      <c r="AR12" s="52"/>
      <c r="AS12" s="30"/>
      <c r="AT12" s="30"/>
      <c r="AU12" s="30"/>
      <c r="AV12" s="52"/>
    </row>
    <row r="13" spans="1:48" s="2" customFormat="1" x14ac:dyDescent="0.25">
      <c r="A13" s="2" t="s">
        <v>12</v>
      </c>
      <c r="B13" s="43" t="s">
        <v>31</v>
      </c>
      <c r="C13" s="44">
        <v>46144</v>
      </c>
      <c r="D13" s="43" t="s">
        <v>32</v>
      </c>
      <c r="E13" s="43" t="s">
        <v>14</v>
      </c>
      <c r="F13" s="43" t="s">
        <v>15</v>
      </c>
      <c r="G13" s="43" t="s">
        <v>16</v>
      </c>
      <c r="H13" s="43" t="s">
        <v>46</v>
      </c>
      <c r="I13" s="43">
        <v>85258900</v>
      </c>
      <c r="J13" s="43">
        <v>2245.7600000000002</v>
      </c>
      <c r="K13" s="43">
        <v>1</v>
      </c>
      <c r="L13" s="45">
        <f t="shared" si="0"/>
        <v>2245.7600000000002</v>
      </c>
      <c r="M13" s="43">
        <v>9</v>
      </c>
      <c r="N13" s="45">
        <f t="shared" si="1"/>
        <v>202.11840000000004</v>
      </c>
      <c r="O13" s="43">
        <v>9</v>
      </c>
      <c r="P13" s="45">
        <f t="shared" si="2"/>
        <v>202.11840000000004</v>
      </c>
      <c r="Q13" s="43"/>
      <c r="R13" s="45">
        <f t="shared" si="3"/>
        <v>0</v>
      </c>
      <c r="S13" s="45">
        <f t="shared" si="4"/>
        <v>404.23680000000007</v>
      </c>
      <c r="T13" s="43">
        <v>2245.7600000000002</v>
      </c>
      <c r="U13" s="45">
        <f t="shared" si="5"/>
        <v>2649.9968000000003</v>
      </c>
      <c r="V13" s="46">
        <f>U13</f>
        <v>2649.9968000000003</v>
      </c>
      <c r="W13" s="46">
        <f>X13-V13</f>
        <v>3.1999999996514816E-3</v>
      </c>
      <c r="X13" s="47">
        <v>2650</v>
      </c>
      <c r="Y13" s="169">
        <v>46144</v>
      </c>
      <c r="Z13" s="43" t="s">
        <v>85</v>
      </c>
      <c r="AA13" s="82" t="s">
        <v>121</v>
      </c>
      <c r="AB13" s="43" t="s">
        <v>76</v>
      </c>
      <c r="AC13" s="43" t="s">
        <v>77</v>
      </c>
      <c r="AD13" s="43" t="s">
        <v>113</v>
      </c>
      <c r="AE13" s="43" t="s">
        <v>46</v>
      </c>
      <c r="AF13" s="43">
        <v>85258900</v>
      </c>
      <c r="AG13" s="43">
        <v>1</v>
      </c>
      <c r="AH13" s="43">
        <v>2500</v>
      </c>
      <c r="AI13" s="43">
        <f>AH13*AG13</f>
        <v>2500</v>
      </c>
      <c r="AJ13" s="45">
        <v>9</v>
      </c>
      <c r="AK13" s="45">
        <f>(AJ13*AI13)/100</f>
        <v>225</v>
      </c>
      <c r="AL13" s="45">
        <v>9</v>
      </c>
      <c r="AM13" s="45">
        <f>(AL13*AI13)/100</f>
        <v>225</v>
      </c>
      <c r="AN13" s="45"/>
      <c r="AO13" s="45"/>
      <c r="AP13" s="45">
        <f>AM13+AK13</f>
        <v>450</v>
      </c>
      <c r="AQ13" s="45">
        <f>AP13+AI13</f>
        <v>2950</v>
      </c>
      <c r="AR13" s="45"/>
      <c r="AS13" s="43"/>
      <c r="AT13" s="43"/>
      <c r="AU13" s="43"/>
      <c r="AV13" s="45"/>
    </row>
    <row r="14" spans="1:48" s="66" customFormat="1" x14ac:dyDescent="0.25">
      <c r="A14" s="66" t="s">
        <v>12</v>
      </c>
      <c r="B14" s="67" t="s">
        <v>33</v>
      </c>
      <c r="C14" s="68">
        <v>46164</v>
      </c>
      <c r="D14" s="67" t="s">
        <v>34</v>
      </c>
      <c r="E14" s="67" t="s">
        <v>14</v>
      </c>
      <c r="F14" s="67" t="s">
        <v>15</v>
      </c>
      <c r="G14" s="67" t="s">
        <v>16</v>
      </c>
      <c r="H14" s="67" t="s">
        <v>44</v>
      </c>
      <c r="I14" s="67">
        <v>84439959</v>
      </c>
      <c r="J14" s="67">
        <v>149</v>
      </c>
      <c r="K14" s="67">
        <v>1</v>
      </c>
      <c r="L14" s="69">
        <f t="shared" si="0"/>
        <v>149</v>
      </c>
      <c r="M14" s="67"/>
      <c r="N14" s="69">
        <f t="shared" si="1"/>
        <v>0</v>
      </c>
      <c r="O14" s="67"/>
      <c r="P14" s="69">
        <f t="shared" si="2"/>
        <v>0</v>
      </c>
      <c r="Q14" s="67">
        <v>18</v>
      </c>
      <c r="R14" s="69">
        <f t="shared" si="3"/>
        <v>26.82</v>
      </c>
      <c r="S14" s="69">
        <f t="shared" si="4"/>
        <v>26.82</v>
      </c>
      <c r="T14" s="67">
        <v>175.82</v>
      </c>
      <c r="U14" s="69">
        <f t="shared" si="5"/>
        <v>202.64</v>
      </c>
      <c r="V14" s="70">
        <f>U14+U15</f>
        <v>372.64</v>
      </c>
      <c r="W14" s="122">
        <f>X14-V14</f>
        <v>44.360000000000014</v>
      </c>
      <c r="X14" s="123">
        <v>417</v>
      </c>
      <c r="Y14" s="224">
        <v>46166</v>
      </c>
      <c r="Z14" s="227" t="s">
        <v>86</v>
      </c>
      <c r="AA14" s="228" t="s">
        <v>122</v>
      </c>
      <c r="AB14" s="227" t="s">
        <v>76</v>
      </c>
      <c r="AC14" s="227" t="s">
        <v>77</v>
      </c>
      <c r="AD14" s="227" t="s">
        <v>113</v>
      </c>
      <c r="AE14" s="71" t="s">
        <v>44</v>
      </c>
      <c r="AF14" s="67">
        <v>84439959</v>
      </c>
      <c r="AG14" s="71">
        <v>1</v>
      </c>
      <c r="AH14" s="71">
        <v>230.42</v>
      </c>
      <c r="AI14" s="71">
        <f>AH14*AG14</f>
        <v>230.42</v>
      </c>
      <c r="AJ14" s="70">
        <v>9</v>
      </c>
      <c r="AK14" s="70">
        <f>(AJ14*AI14)/100</f>
        <v>20.737799999999996</v>
      </c>
      <c r="AL14" s="70">
        <v>9</v>
      </c>
      <c r="AM14" s="70">
        <f>(AL14*AI14)/100</f>
        <v>20.737799999999996</v>
      </c>
      <c r="AN14" s="70"/>
      <c r="AO14" s="70"/>
      <c r="AP14" s="70">
        <f>AM14+AK14</f>
        <v>41.475599999999993</v>
      </c>
      <c r="AQ14" s="70">
        <f>AP14+AH14</f>
        <v>271.8956</v>
      </c>
      <c r="AR14" s="116"/>
      <c r="AS14" s="200">
        <f>AQ14+AQ15+AQ16</f>
        <v>699.99959999999999</v>
      </c>
      <c r="AT14" s="71"/>
      <c r="AU14" s="71"/>
      <c r="AV14" s="70"/>
    </row>
    <row r="15" spans="1:48" s="72" customFormat="1" x14ac:dyDescent="0.25">
      <c r="A15" s="66" t="s">
        <v>12</v>
      </c>
      <c r="B15" s="67" t="s">
        <v>33</v>
      </c>
      <c r="C15" s="68">
        <v>46164</v>
      </c>
      <c r="D15" s="67" t="s">
        <v>34</v>
      </c>
      <c r="E15" s="67" t="s">
        <v>14</v>
      </c>
      <c r="F15" s="67" t="s">
        <v>15</v>
      </c>
      <c r="G15" s="67" t="s">
        <v>16</v>
      </c>
      <c r="H15" s="67" t="s">
        <v>45</v>
      </c>
      <c r="I15" s="67">
        <v>84439959</v>
      </c>
      <c r="J15" s="67">
        <v>125</v>
      </c>
      <c r="K15" s="67">
        <v>1</v>
      </c>
      <c r="L15" s="69">
        <f t="shared" si="0"/>
        <v>125</v>
      </c>
      <c r="M15" s="67"/>
      <c r="N15" s="69">
        <f t="shared" si="1"/>
        <v>0</v>
      </c>
      <c r="O15" s="67"/>
      <c r="P15" s="69">
        <f t="shared" si="2"/>
        <v>0</v>
      </c>
      <c r="Q15" s="67">
        <v>18</v>
      </c>
      <c r="R15" s="69">
        <f t="shared" si="3"/>
        <v>22.5</v>
      </c>
      <c r="S15" s="69">
        <f t="shared" si="4"/>
        <v>22.5</v>
      </c>
      <c r="T15" s="67">
        <v>147.5</v>
      </c>
      <c r="U15" s="69">
        <f t="shared" si="5"/>
        <v>170</v>
      </c>
      <c r="V15" s="70"/>
      <c r="W15" s="123"/>
      <c r="X15" s="123"/>
      <c r="Y15" s="225"/>
      <c r="Z15" s="201"/>
      <c r="AA15" s="229"/>
      <c r="AB15" s="201"/>
      <c r="AC15" s="201"/>
      <c r="AD15" s="201"/>
      <c r="AE15" s="71" t="s">
        <v>45</v>
      </c>
      <c r="AF15" s="67">
        <v>84439959</v>
      </c>
      <c r="AG15" s="106">
        <v>1</v>
      </c>
      <c r="AH15" s="106">
        <v>193.31</v>
      </c>
      <c r="AI15" s="71">
        <f t="shared" ref="AI15:AI16" si="17">AH15*AG15</f>
        <v>193.31</v>
      </c>
      <c r="AJ15" s="107">
        <v>9</v>
      </c>
      <c r="AK15" s="70">
        <f t="shared" ref="AK15:AK16" si="18">(AJ15*AI15)/100</f>
        <v>17.3979</v>
      </c>
      <c r="AL15" s="107">
        <v>9</v>
      </c>
      <c r="AM15" s="70">
        <f t="shared" ref="AM15:AM16" si="19">(AL15*AI15)/100</f>
        <v>17.3979</v>
      </c>
      <c r="AN15" s="107"/>
      <c r="AO15" s="107"/>
      <c r="AP15" s="70">
        <f t="shared" ref="AP15:AP38" si="20">AM15+AK15</f>
        <v>34.7958</v>
      </c>
      <c r="AQ15" s="70">
        <f t="shared" ref="AQ15:AQ16" si="21">AP15+AH15</f>
        <v>228.10579999999999</v>
      </c>
      <c r="AR15" s="117"/>
      <c r="AS15" s="201"/>
      <c r="AT15" s="106"/>
      <c r="AU15" s="106"/>
      <c r="AV15" s="107"/>
    </row>
    <row r="16" spans="1:48" s="72" customFormat="1" x14ac:dyDescent="0.25">
      <c r="A16" s="66"/>
      <c r="B16" s="67"/>
      <c r="C16" s="68"/>
      <c r="D16" s="67"/>
      <c r="E16" s="67"/>
      <c r="F16" s="67"/>
      <c r="G16" s="67"/>
      <c r="H16" s="67"/>
      <c r="I16" s="67"/>
      <c r="J16" s="67"/>
      <c r="K16" s="67"/>
      <c r="L16" s="69"/>
      <c r="M16" s="67"/>
      <c r="N16" s="69"/>
      <c r="O16" s="67"/>
      <c r="P16" s="69"/>
      <c r="Q16" s="67"/>
      <c r="R16" s="69"/>
      <c r="S16" s="69"/>
      <c r="T16" s="67"/>
      <c r="U16" s="69"/>
      <c r="V16" s="70"/>
      <c r="W16" s="123"/>
      <c r="X16" s="123"/>
      <c r="Y16" s="226"/>
      <c r="Z16" s="202"/>
      <c r="AA16" s="230"/>
      <c r="AB16" s="202"/>
      <c r="AC16" s="202"/>
      <c r="AD16" s="202"/>
      <c r="AE16" s="71" t="s">
        <v>123</v>
      </c>
      <c r="AF16" s="71">
        <v>9987</v>
      </c>
      <c r="AG16" s="106">
        <v>1</v>
      </c>
      <c r="AH16" s="106">
        <v>169.49</v>
      </c>
      <c r="AI16" s="71">
        <f t="shared" si="17"/>
        <v>169.49</v>
      </c>
      <c r="AJ16" s="107">
        <v>9</v>
      </c>
      <c r="AK16" s="70">
        <f t="shared" si="18"/>
        <v>15.254100000000001</v>
      </c>
      <c r="AL16" s="107">
        <v>9</v>
      </c>
      <c r="AM16" s="70">
        <f t="shared" si="19"/>
        <v>15.254100000000001</v>
      </c>
      <c r="AN16" s="107"/>
      <c r="AO16" s="107"/>
      <c r="AP16" s="70">
        <f t="shared" si="20"/>
        <v>30.508200000000002</v>
      </c>
      <c r="AQ16" s="70">
        <f t="shared" si="21"/>
        <v>199.9982</v>
      </c>
      <c r="AR16" s="118"/>
      <c r="AS16" s="202"/>
      <c r="AT16" s="106"/>
      <c r="AU16" s="106"/>
      <c r="AV16" s="107"/>
    </row>
    <row r="17" spans="1:48" s="60" customFormat="1" ht="30" customHeight="1" x14ac:dyDescent="0.25">
      <c r="A17" s="60" t="s">
        <v>12</v>
      </c>
      <c r="B17" s="61" t="s">
        <v>25</v>
      </c>
      <c r="C17" s="62">
        <v>46172</v>
      </c>
      <c r="D17" s="61" t="s">
        <v>24</v>
      </c>
      <c r="E17" s="61" t="s">
        <v>14</v>
      </c>
      <c r="F17" s="61" t="s">
        <v>15</v>
      </c>
      <c r="G17" s="61" t="s">
        <v>16</v>
      </c>
      <c r="H17" s="61" t="s">
        <v>62</v>
      </c>
      <c r="I17" s="61">
        <v>85258900</v>
      </c>
      <c r="J17" s="61">
        <v>1700</v>
      </c>
      <c r="K17" s="61">
        <v>2</v>
      </c>
      <c r="L17" s="63">
        <f t="shared" si="0"/>
        <v>3400</v>
      </c>
      <c r="M17" s="61">
        <v>9</v>
      </c>
      <c r="N17" s="63">
        <f t="shared" si="1"/>
        <v>306</v>
      </c>
      <c r="O17" s="61">
        <v>9</v>
      </c>
      <c r="P17" s="63">
        <f t="shared" si="2"/>
        <v>306</v>
      </c>
      <c r="Q17" s="61"/>
      <c r="R17" s="63">
        <f t="shared" si="3"/>
        <v>0</v>
      </c>
      <c r="S17" s="63">
        <f t="shared" si="4"/>
        <v>612</v>
      </c>
      <c r="T17" s="61">
        <v>3400</v>
      </c>
      <c r="U17" s="63">
        <f t="shared" si="5"/>
        <v>4012</v>
      </c>
      <c r="V17" s="64">
        <f>U17</f>
        <v>4012</v>
      </c>
      <c r="W17" s="64">
        <f>X17-V17</f>
        <v>0</v>
      </c>
      <c r="X17" s="65">
        <v>4012</v>
      </c>
      <c r="Y17" s="188">
        <v>46172</v>
      </c>
      <c r="Z17" s="191" t="s">
        <v>87</v>
      </c>
      <c r="AA17" s="194" t="s">
        <v>124</v>
      </c>
      <c r="AB17" s="191" t="s">
        <v>125</v>
      </c>
      <c r="AC17" s="191" t="s">
        <v>126</v>
      </c>
      <c r="AD17" s="191" t="s">
        <v>127</v>
      </c>
      <c r="AE17" s="61" t="s">
        <v>62</v>
      </c>
      <c r="AF17" s="61">
        <v>85258900</v>
      </c>
      <c r="AG17" s="61">
        <v>2</v>
      </c>
      <c r="AH17" s="61">
        <v>1900</v>
      </c>
      <c r="AI17" s="61">
        <f>AH17*AG17</f>
        <v>3800</v>
      </c>
      <c r="AJ17" s="63">
        <v>9</v>
      </c>
      <c r="AK17" s="63">
        <f>(AI17*AJ17)/100</f>
        <v>342</v>
      </c>
      <c r="AL17" s="63">
        <v>9</v>
      </c>
      <c r="AM17" s="63">
        <f>(AL17*AI17)/100</f>
        <v>342</v>
      </c>
      <c r="AN17" s="63"/>
      <c r="AO17" s="63"/>
      <c r="AP17" s="63">
        <f t="shared" si="20"/>
        <v>684</v>
      </c>
      <c r="AQ17" s="61">
        <v>3800</v>
      </c>
      <c r="AR17" s="151"/>
      <c r="AS17" s="241">
        <f>AP17+AP18+AP19+AQ17+AQ18+AQ19</f>
        <v>5487</v>
      </c>
      <c r="AT17" s="244"/>
      <c r="AU17" s="191"/>
      <c r="AV17" s="244"/>
    </row>
    <row r="18" spans="1:48" s="60" customFormat="1" x14ac:dyDescent="0.25">
      <c r="B18" s="61"/>
      <c r="C18" s="62"/>
      <c r="D18" s="61"/>
      <c r="E18" s="61"/>
      <c r="F18" s="61"/>
      <c r="G18" s="61"/>
      <c r="H18" s="61"/>
      <c r="I18" s="61"/>
      <c r="J18" s="61"/>
      <c r="K18" s="61"/>
      <c r="L18" s="63"/>
      <c r="M18" s="61"/>
      <c r="N18" s="63"/>
      <c r="O18" s="61"/>
      <c r="P18" s="63"/>
      <c r="Q18" s="61"/>
      <c r="R18" s="63"/>
      <c r="S18" s="63"/>
      <c r="T18" s="61"/>
      <c r="U18" s="63"/>
      <c r="V18" s="64"/>
      <c r="W18" s="64"/>
      <c r="X18" s="65"/>
      <c r="Y18" s="189"/>
      <c r="Z18" s="192"/>
      <c r="AA18" s="195"/>
      <c r="AB18" s="192"/>
      <c r="AC18" s="192"/>
      <c r="AD18" s="192"/>
      <c r="AE18" s="61" t="s">
        <v>131</v>
      </c>
      <c r="AF18" s="61">
        <v>844399</v>
      </c>
      <c r="AG18" s="61">
        <v>1</v>
      </c>
      <c r="AH18" s="61">
        <v>350</v>
      </c>
      <c r="AI18" s="61">
        <f t="shared" ref="AI18:AI38" si="22">AH18*AG18</f>
        <v>350</v>
      </c>
      <c r="AJ18" s="63">
        <v>9</v>
      </c>
      <c r="AK18" s="63">
        <f t="shared" ref="AK18:AK19" si="23">(AI18*AJ18)/100</f>
        <v>31.5</v>
      </c>
      <c r="AL18" s="63">
        <v>9</v>
      </c>
      <c r="AM18" s="63">
        <f t="shared" ref="AM18:AM38" si="24">(AL18*AI18)/100</f>
        <v>31.5</v>
      </c>
      <c r="AN18" s="63"/>
      <c r="AO18" s="63"/>
      <c r="AP18" s="63">
        <f t="shared" si="20"/>
        <v>63</v>
      </c>
      <c r="AQ18" s="61">
        <v>350</v>
      </c>
      <c r="AR18" s="152"/>
      <c r="AS18" s="242"/>
      <c r="AT18" s="192"/>
      <c r="AU18" s="192"/>
      <c r="AV18" s="245"/>
    </row>
    <row r="19" spans="1:48" s="60" customFormat="1" x14ac:dyDescent="0.25">
      <c r="B19" s="61"/>
      <c r="C19" s="62"/>
      <c r="D19" s="61"/>
      <c r="E19" s="61"/>
      <c r="F19" s="61"/>
      <c r="G19" s="61"/>
      <c r="H19" s="61"/>
      <c r="I19" s="61"/>
      <c r="J19" s="61"/>
      <c r="K19" s="61"/>
      <c r="L19" s="63"/>
      <c r="M19" s="61"/>
      <c r="N19" s="63"/>
      <c r="O19" s="61"/>
      <c r="P19" s="63"/>
      <c r="Q19" s="61"/>
      <c r="R19" s="63"/>
      <c r="S19" s="63"/>
      <c r="T19" s="61"/>
      <c r="U19" s="63"/>
      <c r="V19" s="64"/>
      <c r="W19" s="64"/>
      <c r="X19" s="65"/>
      <c r="Y19" s="190"/>
      <c r="Z19" s="193"/>
      <c r="AA19" s="196"/>
      <c r="AB19" s="193"/>
      <c r="AC19" s="193"/>
      <c r="AD19" s="193"/>
      <c r="AE19" s="61" t="s">
        <v>132</v>
      </c>
      <c r="AF19" s="61">
        <v>995461</v>
      </c>
      <c r="AG19" s="61">
        <v>2</v>
      </c>
      <c r="AH19" s="61">
        <v>250</v>
      </c>
      <c r="AI19" s="61">
        <f t="shared" si="22"/>
        <v>500</v>
      </c>
      <c r="AJ19" s="63">
        <v>9</v>
      </c>
      <c r="AK19" s="63">
        <f t="shared" si="23"/>
        <v>45</v>
      </c>
      <c r="AL19" s="63">
        <v>9</v>
      </c>
      <c r="AM19" s="63">
        <f t="shared" si="24"/>
        <v>45</v>
      </c>
      <c r="AN19" s="63"/>
      <c r="AO19" s="63"/>
      <c r="AP19" s="63">
        <f t="shared" si="20"/>
        <v>90</v>
      </c>
      <c r="AQ19" s="61">
        <v>500</v>
      </c>
      <c r="AR19" s="153"/>
      <c r="AS19" s="243"/>
      <c r="AT19" s="193"/>
      <c r="AU19" s="193"/>
      <c r="AV19" s="246"/>
    </row>
    <row r="20" spans="1:48" s="7" customFormat="1" x14ac:dyDescent="0.25">
      <c r="A20" s="7" t="s">
        <v>12</v>
      </c>
      <c r="B20" s="31" t="s">
        <v>28</v>
      </c>
      <c r="C20" s="55">
        <v>46172</v>
      </c>
      <c r="D20" s="31" t="s">
        <v>32</v>
      </c>
      <c r="E20" s="31" t="s">
        <v>14</v>
      </c>
      <c r="F20" s="31" t="s">
        <v>15</v>
      </c>
      <c r="G20" s="31" t="s">
        <v>16</v>
      </c>
      <c r="H20" s="31" t="s">
        <v>43</v>
      </c>
      <c r="I20" s="31">
        <v>84717090</v>
      </c>
      <c r="J20" s="31">
        <v>5650</v>
      </c>
      <c r="K20" s="31">
        <v>1</v>
      </c>
      <c r="L20" s="56">
        <f t="shared" si="0"/>
        <v>5650</v>
      </c>
      <c r="M20" s="31">
        <v>9</v>
      </c>
      <c r="N20" s="56">
        <f t="shared" si="1"/>
        <v>508.5</v>
      </c>
      <c r="O20" s="31">
        <v>9</v>
      </c>
      <c r="P20" s="56">
        <f t="shared" si="2"/>
        <v>508.5</v>
      </c>
      <c r="Q20" s="31"/>
      <c r="R20" s="56">
        <f t="shared" si="3"/>
        <v>0</v>
      </c>
      <c r="S20" s="56">
        <f t="shared" si="4"/>
        <v>1017</v>
      </c>
      <c r="T20" s="31">
        <v>5650</v>
      </c>
      <c r="U20" s="56">
        <f t="shared" si="5"/>
        <v>6667</v>
      </c>
      <c r="V20" s="57">
        <f>U20</f>
        <v>6667</v>
      </c>
      <c r="W20" s="57">
        <f>X20-V20</f>
        <v>0</v>
      </c>
      <c r="X20" s="58">
        <v>6667</v>
      </c>
      <c r="Y20" s="170">
        <v>46174</v>
      </c>
      <c r="Z20" s="31" t="s">
        <v>88</v>
      </c>
      <c r="AA20" s="114" t="s">
        <v>133</v>
      </c>
      <c r="AB20" s="31" t="s">
        <v>76</v>
      </c>
      <c r="AC20" s="31" t="s">
        <v>77</v>
      </c>
      <c r="AD20" s="31" t="s">
        <v>134</v>
      </c>
      <c r="AE20" s="31" t="s">
        <v>43</v>
      </c>
      <c r="AF20" s="31">
        <v>84717090</v>
      </c>
      <c r="AG20" s="31">
        <v>1</v>
      </c>
      <c r="AH20" s="31">
        <v>5932.2</v>
      </c>
      <c r="AI20" s="31">
        <f t="shared" si="22"/>
        <v>5932.2</v>
      </c>
      <c r="AJ20" s="56">
        <v>9</v>
      </c>
      <c r="AK20" s="56">
        <f>(AJ20*AI20)/100</f>
        <v>533.89799999999991</v>
      </c>
      <c r="AL20" s="56">
        <v>9</v>
      </c>
      <c r="AM20" s="56">
        <f t="shared" si="24"/>
        <v>533.89799999999991</v>
      </c>
      <c r="AN20" s="56"/>
      <c r="AO20" s="56"/>
      <c r="AP20" s="56">
        <f t="shared" si="20"/>
        <v>1067.7959999999998</v>
      </c>
      <c r="AQ20" s="31">
        <v>5932.2</v>
      </c>
      <c r="AR20" s="56"/>
      <c r="AS20" s="56">
        <f>AQ20+AP20</f>
        <v>6999.9959999999992</v>
      </c>
      <c r="AT20" s="31"/>
      <c r="AU20" s="31"/>
      <c r="AV20" s="56"/>
    </row>
    <row r="21" spans="1:48" s="8" customFormat="1" x14ac:dyDescent="0.25">
      <c r="A21" s="8" t="s">
        <v>12</v>
      </c>
      <c r="B21" s="108" t="s">
        <v>97</v>
      </c>
      <c r="C21" s="48">
        <v>46173</v>
      </c>
      <c r="D21" s="32" t="s">
        <v>13</v>
      </c>
      <c r="E21" s="32" t="s">
        <v>14</v>
      </c>
      <c r="F21" s="32" t="s">
        <v>15</v>
      </c>
      <c r="G21" s="32" t="s">
        <v>16</v>
      </c>
      <c r="H21" s="32" t="s">
        <v>39</v>
      </c>
      <c r="I21" s="32">
        <v>997331</v>
      </c>
      <c r="J21" s="32">
        <v>169</v>
      </c>
      <c r="K21" s="32">
        <v>1</v>
      </c>
      <c r="L21" s="49">
        <f t="shared" si="0"/>
        <v>169</v>
      </c>
      <c r="M21" s="32">
        <v>0</v>
      </c>
      <c r="N21" s="49">
        <v>0</v>
      </c>
      <c r="O21" s="32"/>
      <c r="P21" s="49">
        <v>0</v>
      </c>
      <c r="Q21" s="32">
        <v>18</v>
      </c>
      <c r="R21" s="49">
        <f t="shared" si="3"/>
        <v>30.42</v>
      </c>
      <c r="S21" s="49">
        <f t="shared" si="4"/>
        <v>30.42</v>
      </c>
      <c r="T21" s="32">
        <v>169</v>
      </c>
      <c r="U21" s="49">
        <f t="shared" si="5"/>
        <v>199.42000000000002</v>
      </c>
      <c r="V21" s="50">
        <f>U21+U22</f>
        <v>418.9</v>
      </c>
      <c r="W21" s="124">
        <f>X21-V21</f>
        <v>0.10000000000002274</v>
      </c>
      <c r="X21" s="124">
        <v>419</v>
      </c>
      <c r="Y21" s="237">
        <v>46176</v>
      </c>
      <c r="Z21" s="240" t="s">
        <v>89</v>
      </c>
      <c r="AA21" s="240" t="s">
        <v>135</v>
      </c>
      <c r="AB21" s="240" t="s">
        <v>76</v>
      </c>
      <c r="AC21" s="240" t="s">
        <v>77</v>
      </c>
      <c r="AD21" s="240" t="s">
        <v>136</v>
      </c>
      <c r="AE21" s="32" t="s">
        <v>39</v>
      </c>
      <c r="AF21" s="32">
        <v>997331</v>
      </c>
      <c r="AG21" s="32">
        <v>1</v>
      </c>
      <c r="AH21" s="32">
        <v>241</v>
      </c>
      <c r="AI21" s="32">
        <f t="shared" si="22"/>
        <v>241</v>
      </c>
      <c r="AJ21" s="49">
        <v>9</v>
      </c>
      <c r="AK21" s="49">
        <f>(AJ21*AI21)/100</f>
        <v>21.69</v>
      </c>
      <c r="AL21" s="49">
        <v>9</v>
      </c>
      <c r="AM21" s="49">
        <f t="shared" si="24"/>
        <v>21.69</v>
      </c>
      <c r="AN21" s="49"/>
      <c r="AO21" s="49"/>
      <c r="AP21" s="49">
        <f t="shared" si="20"/>
        <v>43.38</v>
      </c>
      <c r="AQ21" s="32">
        <f>AI21</f>
        <v>241</v>
      </c>
      <c r="AR21" s="154"/>
      <c r="AS21" s="247">
        <f>AP21+AP22+AP23+AP24+AP25+AP26+AQ21+AQ22+AQ23+AQ24+AQ25+AQ26</f>
        <v>10400.52</v>
      </c>
      <c r="AT21" s="32"/>
      <c r="AU21" s="247">
        <f>AV21-AS21</f>
        <v>-0.52000000000043656</v>
      </c>
      <c r="AV21" s="247">
        <v>10400</v>
      </c>
    </row>
    <row r="22" spans="1:48" s="8" customFormat="1" x14ac:dyDescent="0.25">
      <c r="A22" s="8" t="s">
        <v>12</v>
      </c>
      <c r="B22" s="108" t="s">
        <v>97</v>
      </c>
      <c r="C22" s="48">
        <v>46173</v>
      </c>
      <c r="D22" s="32" t="s">
        <v>13</v>
      </c>
      <c r="E22" s="32" t="s">
        <v>14</v>
      </c>
      <c r="F22" s="32" t="s">
        <v>15</v>
      </c>
      <c r="G22" s="32" t="s">
        <v>16</v>
      </c>
      <c r="H22" s="32" t="s">
        <v>38</v>
      </c>
      <c r="I22" s="32">
        <v>997331</v>
      </c>
      <c r="J22" s="32">
        <v>186</v>
      </c>
      <c r="K22" s="32">
        <v>1</v>
      </c>
      <c r="L22" s="49">
        <f t="shared" si="0"/>
        <v>186</v>
      </c>
      <c r="M22" s="32">
        <v>0</v>
      </c>
      <c r="N22" s="49">
        <v>0</v>
      </c>
      <c r="O22" s="32"/>
      <c r="P22" s="49">
        <v>0</v>
      </c>
      <c r="Q22" s="32">
        <v>18</v>
      </c>
      <c r="R22" s="49">
        <f t="shared" si="3"/>
        <v>33.479999999999997</v>
      </c>
      <c r="S22" s="49">
        <f t="shared" si="4"/>
        <v>33.479999999999997</v>
      </c>
      <c r="T22" s="32">
        <v>186</v>
      </c>
      <c r="U22" s="49">
        <f t="shared" si="5"/>
        <v>219.48</v>
      </c>
      <c r="V22" s="50"/>
      <c r="W22" s="124"/>
      <c r="X22" s="124"/>
      <c r="Y22" s="238"/>
      <c r="Z22" s="238"/>
      <c r="AA22" s="238"/>
      <c r="AB22" s="238"/>
      <c r="AC22" s="238"/>
      <c r="AD22" s="238"/>
      <c r="AE22" s="32" t="s">
        <v>38</v>
      </c>
      <c r="AF22" s="32">
        <v>997331</v>
      </c>
      <c r="AG22" s="32">
        <v>2</v>
      </c>
      <c r="AH22" s="32">
        <v>220</v>
      </c>
      <c r="AI22" s="32">
        <f t="shared" si="22"/>
        <v>440</v>
      </c>
      <c r="AJ22" s="49">
        <v>9</v>
      </c>
      <c r="AK22" s="49">
        <f t="shared" ref="AK22:AK38" si="25">(AJ22*AI22)/100</f>
        <v>39.6</v>
      </c>
      <c r="AL22" s="49">
        <v>9</v>
      </c>
      <c r="AM22" s="49">
        <f t="shared" si="24"/>
        <v>39.6</v>
      </c>
      <c r="AN22" s="49"/>
      <c r="AO22" s="49"/>
      <c r="AP22" s="49">
        <f t="shared" si="20"/>
        <v>79.2</v>
      </c>
      <c r="AQ22" s="32">
        <f t="shared" ref="AQ22:AQ34" si="26">AI22</f>
        <v>440</v>
      </c>
      <c r="AR22" s="155"/>
      <c r="AS22" s="248"/>
      <c r="AT22" s="32"/>
      <c r="AU22" s="250"/>
      <c r="AV22" s="248"/>
    </row>
    <row r="23" spans="1:48" s="8" customFormat="1" x14ac:dyDescent="0.25">
      <c r="A23" s="8" t="s">
        <v>12</v>
      </c>
      <c r="B23" s="32" t="s">
        <v>21</v>
      </c>
      <c r="C23" s="48">
        <v>46173</v>
      </c>
      <c r="D23" s="32" t="s">
        <v>18</v>
      </c>
      <c r="E23" s="32" t="s">
        <v>14</v>
      </c>
      <c r="F23" s="32" t="s">
        <v>15</v>
      </c>
      <c r="G23" s="32" t="s">
        <v>16</v>
      </c>
      <c r="H23" s="32" t="s">
        <v>40</v>
      </c>
      <c r="I23" s="32">
        <v>85235100</v>
      </c>
      <c r="J23" s="32">
        <v>4067.8</v>
      </c>
      <c r="K23" s="32">
        <v>1</v>
      </c>
      <c r="L23" s="49">
        <f t="shared" si="0"/>
        <v>4067.8</v>
      </c>
      <c r="M23" s="32">
        <v>9</v>
      </c>
      <c r="N23" s="49">
        <f>(M23*L23)/100</f>
        <v>366.10200000000003</v>
      </c>
      <c r="O23" s="32">
        <v>9</v>
      </c>
      <c r="P23" s="49">
        <f>(O23*L23)/100</f>
        <v>366.10200000000003</v>
      </c>
      <c r="Q23" s="32"/>
      <c r="R23" s="49">
        <f t="shared" si="3"/>
        <v>0</v>
      </c>
      <c r="S23" s="49">
        <f t="shared" si="4"/>
        <v>732.20400000000006</v>
      </c>
      <c r="T23" s="32">
        <v>4067.8</v>
      </c>
      <c r="U23" s="49">
        <f t="shared" si="5"/>
        <v>4800.0039999999999</v>
      </c>
      <c r="V23" s="50">
        <f>U23+U24</f>
        <v>7699.9956000000002</v>
      </c>
      <c r="W23" s="124"/>
      <c r="X23" s="124">
        <v>7700</v>
      </c>
      <c r="Y23" s="238"/>
      <c r="Z23" s="238"/>
      <c r="AA23" s="238"/>
      <c r="AB23" s="238"/>
      <c r="AC23" s="238"/>
      <c r="AD23" s="238"/>
      <c r="AE23" s="32" t="s">
        <v>40</v>
      </c>
      <c r="AF23" s="32">
        <v>85235100</v>
      </c>
      <c r="AG23" s="32">
        <v>1</v>
      </c>
      <c r="AH23" s="32">
        <v>4600</v>
      </c>
      <c r="AI23" s="32">
        <f t="shared" si="22"/>
        <v>4600</v>
      </c>
      <c r="AJ23" s="49">
        <v>9</v>
      </c>
      <c r="AK23" s="49">
        <f t="shared" si="25"/>
        <v>414</v>
      </c>
      <c r="AL23" s="49">
        <v>9</v>
      </c>
      <c r="AM23" s="49">
        <f t="shared" si="24"/>
        <v>414</v>
      </c>
      <c r="AN23" s="49"/>
      <c r="AO23" s="49"/>
      <c r="AP23" s="49">
        <f t="shared" si="20"/>
        <v>828</v>
      </c>
      <c r="AQ23" s="32">
        <f t="shared" si="26"/>
        <v>4600</v>
      </c>
      <c r="AR23" s="155"/>
      <c r="AS23" s="248"/>
      <c r="AT23" s="32"/>
      <c r="AU23" s="250"/>
      <c r="AV23" s="248"/>
    </row>
    <row r="24" spans="1:48" s="8" customFormat="1" x14ac:dyDescent="0.25">
      <c r="A24" s="8" t="s">
        <v>12</v>
      </c>
      <c r="B24" s="32" t="s">
        <v>21</v>
      </c>
      <c r="C24" s="48">
        <v>46173</v>
      </c>
      <c r="D24" s="32" t="s">
        <v>18</v>
      </c>
      <c r="E24" s="32" t="s">
        <v>14</v>
      </c>
      <c r="F24" s="32" t="s">
        <v>15</v>
      </c>
      <c r="G24" s="32" t="s">
        <v>16</v>
      </c>
      <c r="H24" s="32" t="s">
        <v>41</v>
      </c>
      <c r="I24" s="32">
        <v>84733099</v>
      </c>
      <c r="J24" s="32">
        <v>1228.81</v>
      </c>
      <c r="K24" s="32">
        <v>2</v>
      </c>
      <c r="L24" s="49">
        <f t="shared" si="0"/>
        <v>2457.62</v>
      </c>
      <c r="M24" s="32">
        <v>9</v>
      </c>
      <c r="N24" s="49">
        <f>(M24*L24)/100</f>
        <v>221.18579999999997</v>
      </c>
      <c r="O24" s="32">
        <v>9</v>
      </c>
      <c r="P24" s="49">
        <f>(O24*L24)/100</f>
        <v>221.18579999999997</v>
      </c>
      <c r="Q24" s="32"/>
      <c r="R24" s="49">
        <f t="shared" si="3"/>
        <v>0</v>
      </c>
      <c r="S24" s="49">
        <f t="shared" si="4"/>
        <v>442.37159999999994</v>
      </c>
      <c r="T24" s="32">
        <v>2457.62</v>
      </c>
      <c r="U24" s="49">
        <f t="shared" si="5"/>
        <v>2899.9915999999998</v>
      </c>
      <c r="V24" s="50"/>
      <c r="W24" s="124"/>
      <c r="X24" s="124"/>
      <c r="Y24" s="238"/>
      <c r="Z24" s="238"/>
      <c r="AA24" s="238"/>
      <c r="AB24" s="238"/>
      <c r="AC24" s="238"/>
      <c r="AD24" s="238"/>
      <c r="AE24" s="32" t="s">
        <v>41</v>
      </c>
      <c r="AF24" s="32">
        <v>84733099</v>
      </c>
      <c r="AG24" s="32">
        <v>2</v>
      </c>
      <c r="AH24" s="32">
        <v>1501</v>
      </c>
      <c r="AI24" s="32">
        <f t="shared" si="22"/>
        <v>3002</v>
      </c>
      <c r="AJ24" s="49">
        <v>9</v>
      </c>
      <c r="AK24" s="49">
        <f t="shared" si="25"/>
        <v>270.18</v>
      </c>
      <c r="AL24" s="49">
        <v>9</v>
      </c>
      <c r="AM24" s="49">
        <f t="shared" si="24"/>
        <v>270.18</v>
      </c>
      <c r="AN24" s="49"/>
      <c r="AO24" s="49"/>
      <c r="AP24" s="49">
        <f t="shared" si="20"/>
        <v>540.36</v>
      </c>
      <c r="AQ24" s="32">
        <f t="shared" si="26"/>
        <v>3002</v>
      </c>
      <c r="AR24" s="155"/>
      <c r="AS24" s="248"/>
      <c r="AT24" s="32"/>
      <c r="AU24" s="250"/>
      <c r="AV24" s="248"/>
    </row>
    <row r="25" spans="1:48" s="8" customFormat="1" x14ac:dyDescent="0.25">
      <c r="A25" s="8" t="s">
        <v>12</v>
      </c>
      <c r="B25" s="32" t="s">
        <v>96</v>
      </c>
      <c r="C25" s="48">
        <v>46174</v>
      </c>
      <c r="D25" s="32" t="s">
        <v>13</v>
      </c>
      <c r="E25" s="32" t="s">
        <v>14</v>
      </c>
      <c r="F25" s="32" t="s">
        <v>15</v>
      </c>
      <c r="G25" s="32" t="s">
        <v>16</v>
      </c>
      <c r="H25" s="32" t="s">
        <v>37</v>
      </c>
      <c r="I25" s="32">
        <v>997331</v>
      </c>
      <c r="J25" s="32">
        <v>160</v>
      </c>
      <c r="K25" s="32">
        <v>1</v>
      </c>
      <c r="L25" s="49">
        <f t="shared" si="0"/>
        <v>160</v>
      </c>
      <c r="M25" s="32">
        <v>0</v>
      </c>
      <c r="N25" s="49">
        <v>0</v>
      </c>
      <c r="O25" s="32"/>
      <c r="P25" s="49">
        <v>0</v>
      </c>
      <c r="Q25" s="32">
        <v>18</v>
      </c>
      <c r="R25" s="49">
        <f t="shared" si="3"/>
        <v>28.8</v>
      </c>
      <c r="S25" s="49">
        <f t="shared" si="4"/>
        <v>28.8</v>
      </c>
      <c r="T25" s="32">
        <v>160</v>
      </c>
      <c r="U25" s="49">
        <f t="shared" si="5"/>
        <v>188.8</v>
      </c>
      <c r="V25" s="50">
        <f>U25+U26</f>
        <v>408.28</v>
      </c>
      <c r="W25" s="124">
        <f>X25-V25</f>
        <v>0.72000000000002728</v>
      </c>
      <c r="X25" s="124">
        <v>409</v>
      </c>
      <c r="Y25" s="238"/>
      <c r="Z25" s="238"/>
      <c r="AA25" s="238"/>
      <c r="AB25" s="238"/>
      <c r="AC25" s="238"/>
      <c r="AD25" s="238"/>
      <c r="AE25" s="32" t="s">
        <v>37</v>
      </c>
      <c r="AF25" s="32">
        <v>997331</v>
      </c>
      <c r="AG25" s="32">
        <v>1</v>
      </c>
      <c r="AH25" s="32">
        <v>231</v>
      </c>
      <c r="AI25" s="32">
        <f t="shared" si="22"/>
        <v>231</v>
      </c>
      <c r="AJ25" s="49">
        <v>9</v>
      </c>
      <c r="AK25" s="49">
        <f t="shared" si="25"/>
        <v>20.79</v>
      </c>
      <c r="AL25" s="49">
        <v>9</v>
      </c>
      <c r="AM25" s="49">
        <f t="shared" si="24"/>
        <v>20.79</v>
      </c>
      <c r="AN25" s="49"/>
      <c r="AO25" s="49"/>
      <c r="AP25" s="49">
        <f t="shared" si="20"/>
        <v>41.58</v>
      </c>
      <c r="AQ25" s="32">
        <f t="shared" si="26"/>
        <v>231</v>
      </c>
      <c r="AR25" s="155"/>
      <c r="AS25" s="248"/>
      <c r="AT25" s="32"/>
      <c r="AU25" s="250"/>
      <c r="AV25" s="248"/>
    </row>
    <row r="26" spans="1:48" s="8" customFormat="1" x14ac:dyDescent="0.25">
      <c r="A26" s="8" t="s">
        <v>12</v>
      </c>
      <c r="B26" s="32" t="s">
        <v>96</v>
      </c>
      <c r="C26" s="48">
        <v>46174</v>
      </c>
      <c r="D26" s="32" t="s">
        <v>13</v>
      </c>
      <c r="E26" s="32" t="s">
        <v>14</v>
      </c>
      <c r="F26" s="32" t="s">
        <v>15</v>
      </c>
      <c r="G26" s="32" t="s">
        <v>16</v>
      </c>
      <c r="H26" s="32" t="s">
        <v>38</v>
      </c>
      <c r="I26" s="32">
        <v>997331</v>
      </c>
      <c r="J26" s="32">
        <v>186</v>
      </c>
      <c r="K26" s="32">
        <v>1</v>
      </c>
      <c r="L26" s="49">
        <f t="shared" si="0"/>
        <v>186</v>
      </c>
      <c r="M26" s="32">
        <v>0</v>
      </c>
      <c r="N26" s="49">
        <v>0</v>
      </c>
      <c r="O26" s="32"/>
      <c r="P26" s="49">
        <v>0</v>
      </c>
      <c r="Q26" s="32">
        <v>18</v>
      </c>
      <c r="R26" s="49">
        <f t="shared" si="3"/>
        <v>33.479999999999997</v>
      </c>
      <c r="S26" s="49">
        <f t="shared" si="4"/>
        <v>33.479999999999997</v>
      </c>
      <c r="T26" s="32">
        <v>186</v>
      </c>
      <c r="U26" s="49">
        <f t="shared" si="5"/>
        <v>219.48</v>
      </c>
      <c r="V26" s="50"/>
      <c r="W26" s="124"/>
      <c r="X26" s="124"/>
      <c r="Y26" s="239"/>
      <c r="Z26" s="239"/>
      <c r="AA26" s="239"/>
      <c r="AB26" s="239"/>
      <c r="AC26" s="239"/>
      <c r="AD26" s="239"/>
      <c r="AE26" s="32" t="s">
        <v>123</v>
      </c>
      <c r="AF26" s="32">
        <v>9987</v>
      </c>
      <c r="AG26" s="32">
        <v>1</v>
      </c>
      <c r="AH26" s="32">
        <v>300</v>
      </c>
      <c r="AI26" s="32">
        <f t="shared" si="22"/>
        <v>300</v>
      </c>
      <c r="AJ26" s="49">
        <v>9</v>
      </c>
      <c r="AK26" s="49">
        <f t="shared" si="25"/>
        <v>27</v>
      </c>
      <c r="AL26" s="49">
        <v>9</v>
      </c>
      <c r="AM26" s="49">
        <f t="shared" si="24"/>
        <v>27</v>
      </c>
      <c r="AN26" s="49"/>
      <c r="AO26" s="49"/>
      <c r="AP26" s="49">
        <f t="shared" si="20"/>
        <v>54</v>
      </c>
      <c r="AQ26" s="32">
        <f t="shared" si="26"/>
        <v>300</v>
      </c>
      <c r="AR26" s="156"/>
      <c r="AS26" s="249"/>
      <c r="AT26" s="32"/>
      <c r="AU26" s="251"/>
      <c r="AV26" s="249"/>
    </row>
    <row r="27" spans="1:48" s="6" customFormat="1" x14ac:dyDescent="0.25">
      <c r="B27" s="30" t="s">
        <v>92</v>
      </c>
      <c r="C27" s="51">
        <v>46178</v>
      </c>
      <c r="D27" s="30" t="s">
        <v>18</v>
      </c>
      <c r="E27" s="30" t="s">
        <v>14</v>
      </c>
      <c r="F27" s="30" t="s">
        <v>15</v>
      </c>
      <c r="G27" s="30" t="s">
        <v>16</v>
      </c>
      <c r="H27" s="30" t="s">
        <v>50</v>
      </c>
      <c r="I27" s="30">
        <v>8523</v>
      </c>
      <c r="J27" s="30">
        <v>2203.39</v>
      </c>
      <c r="K27" s="30">
        <v>1</v>
      </c>
      <c r="L27" s="52">
        <f t="shared" ref="L27:L31" si="27">J27*K27</f>
        <v>2203.39</v>
      </c>
      <c r="M27" s="30">
        <v>9</v>
      </c>
      <c r="N27" s="52">
        <f>(M27*L27)/100</f>
        <v>198.30509999999998</v>
      </c>
      <c r="O27" s="30">
        <v>9</v>
      </c>
      <c r="P27" s="52">
        <f>(M27*L27)/100</f>
        <v>198.30509999999998</v>
      </c>
      <c r="Q27" s="30"/>
      <c r="R27" s="52">
        <f t="shared" ref="R27:R31" si="28">(Q27*L27)/100</f>
        <v>0</v>
      </c>
      <c r="S27" s="52">
        <f t="shared" ref="S27:S31" si="29">N27+P27+R27</f>
        <v>396.61019999999996</v>
      </c>
      <c r="T27" s="30">
        <v>2203.39</v>
      </c>
      <c r="U27" s="52">
        <f t="shared" ref="U27:U31" si="30">(T27+S27)</f>
        <v>2600.0001999999999</v>
      </c>
      <c r="V27" s="53">
        <f>U27+U28+U29</f>
        <v>3050.0050000000001</v>
      </c>
      <c r="W27" s="53">
        <f>V27-X27</f>
        <v>5.0000000001091394E-3</v>
      </c>
      <c r="X27" s="54">
        <v>3050</v>
      </c>
      <c r="Y27" s="255">
        <v>46179</v>
      </c>
      <c r="Z27" s="252" t="s">
        <v>90</v>
      </c>
      <c r="AA27" s="252" t="s">
        <v>138</v>
      </c>
      <c r="AB27" s="252" t="s">
        <v>76</v>
      </c>
      <c r="AC27" s="252" t="s">
        <v>77</v>
      </c>
      <c r="AD27" s="252" t="s">
        <v>139</v>
      </c>
      <c r="AE27" s="30" t="s">
        <v>50</v>
      </c>
      <c r="AF27" s="30">
        <v>8523</v>
      </c>
      <c r="AG27" s="30">
        <v>1</v>
      </c>
      <c r="AH27" s="30">
        <v>2551.15</v>
      </c>
      <c r="AI27" s="30">
        <f t="shared" si="22"/>
        <v>2551.15</v>
      </c>
      <c r="AJ27" s="52">
        <v>9</v>
      </c>
      <c r="AK27" s="52">
        <f t="shared" si="25"/>
        <v>229.60350000000003</v>
      </c>
      <c r="AL27" s="52">
        <v>9</v>
      </c>
      <c r="AM27" s="52">
        <f t="shared" si="24"/>
        <v>229.60350000000003</v>
      </c>
      <c r="AN27" s="52"/>
      <c r="AO27" s="52"/>
      <c r="AP27" s="52">
        <f t="shared" si="20"/>
        <v>459.20700000000005</v>
      </c>
      <c r="AQ27" s="30">
        <f t="shared" si="26"/>
        <v>2551.15</v>
      </c>
      <c r="AR27" s="157"/>
      <c r="AS27" s="256">
        <f>AP27+AP28+AP29+AP30+AP31+AQ27+AQ28+AQ29+AQ30+AQ31</f>
        <v>4000.0112000000004</v>
      </c>
      <c r="AT27" s="80"/>
      <c r="AU27" s="256">
        <f>AV27-AS27</f>
        <v>-1.1200000000371801E-2</v>
      </c>
      <c r="AV27" s="256">
        <v>4000</v>
      </c>
    </row>
    <row r="28" spans="1:48" s="6" customFormat="1" x14ac:dyDescent="0.25">
      <c r="B28" s="30" t="s">
        <v>92</v>
      </c>
      <c r="C28" s="51">
        <v>46178</v>
      </c>
      <c r="D28" s="30" t="s">
        <v>18</v>
      </c>
      <c r="E28" s="30" t="s">
        <v>14</v>
      </c>
      <c r="F28" s="30" t="s">
        <v>15</v>
      </c>
      <c r="G28" s="30" t="s">
        <v>16</v>
      </c>
      <c r="H28" s="30" t="s">
        <v>93</v>
      </c>
      <c r="I28" s="30">
        <v>8471</v>
      </c>
      <c r="J28" s="30">
        <v>161.02000000000001</v>
      </c>
      <c r="K28" s="30">
        <v>1</v>
      </c>
      <c r="L28" s="52">
        <f t="shared" si="27"/>
        <v>161.02000000000001</v>
      </c>
      <c r="M28" s="30">
        <v>9</v>
      </c>
      <c r="N28" s="52">
        <f t="shared" ref="N28:N29" si="31">(M28*L28)/100</f>
        <v>14.491800000000001</v>
      </c>
      <c r="O28" s="30">
        <v>9</v>
      </c>
      <c r="P28" s="52">
        <f t="shared" ref="P28:P29" si="32">(M28*L28)/100</f>
        <v>14.491800000000001</v>
      </c>
      <c r="Q28" s="30"/>
      <c r="R28" s="52">
        <f t="shared" si="28"/>
        <v>0</v>
      </c>
      <c r="S28" s="52">
        <f t="shared" si="29"/>
        <v>28.983600000000003</v>
      </c>
      <c r="T28" s="30">
        <v>161.02000000000001</v>
      </c>
      <c r="U28" s="52">
        <f t="shared" si="30"/>
        <v>190.00360000000001</v>
      </c>
      <c r="V28" s="53"/>
      <c r="W28" s="54"/>
      <c r="X28" s="54"/>
      <c r="Y28" s="253"/>
      <c r="Z28" s="253"/>
      <c r="AA28" s="253"/>
      <c r="AB28" s="253"/>
      <c r="AC28" s="253"/>
      <c r="AD28" s="253"/>
      <c r="AE28" s="30" t="s">
        <v>93</v>
      </c>
      <c r="AF28" s="30">
        <v>8471</v>
      </c>
      <c r="AG28" s="30">
        <v>1</v>
      </c>
      <c r="AH28" s="30">
        <v>186.43</v>
      </c>
      <c r="AI28" s="30">
        <f t="shared" si="22"/>
        <v>186.43</v>
      </c>
      <c r="AJ28" s="52">
        <v>9</v>
      </c>
      <c r="AK28" s="52">
        <f t="shared" si="25"/>
        <v>16.778700000000001</v>
      </c>
      <c r="AL28" s="52">
        <v>9</v>
      </c>
      <c r="AM28" s="52">
        <f t="shared" si="24"/>
        <v>16.778700000000001</v>
      </c>
      <c r="AN28" s="52"/>
      <c r="AO28" s="52"/>
      <c r="AP28" s="52">
        <f t="shared" si="20"/>
        <v>33.557400000000001</v>
      </c>
      <c r="AQ28" s="30">
        <f t="shared" si="26"/>
        <v>186.43</v>
      </c>
      <c r="AR28" s="158"/>
      <c r="AS28" s="257"/>
      <c r="AT28" s="80"/>
      <c r="AU28" s="257"/>
      <c r="AV28" s="257"/>
    </row>
    <row r="29" spans="1:48" s="6" customFormat="1" x14ac:dyDescent="0.25">
      <c r="B29" s="30" t="s">
        <v>92</v>
      </c>
      <c r="C29" s="51">
        <v>46178</v>
      </c>
      <c r="D29" s="30" t="s">
        <v>18</v>
      </c>
      <c r="E29" s="30" t="s">
        <v>14</v>
      </c>
      <c r="F29" s="30" t="s">
        <v>15</v>
      </c>
      <c r="G29" s="30" t="s">
        <v>16</v>
      </c>
      <c r="H29" s="30" t="s">
        <v>137</v>
      </c>
      <c r="I29" s="30">
        <v>8517</v>
      </c>
      <c r="J29" s="30">
        <v>220.34</v>
      </c>
      <c r="K29" s="30">
        <v>1</v>
      </c>
      <c r="L29" s="52">
        <f t="shared" si="27"/>
        <v>220.34</v>
      </c>
      <c r="M29" s="30">
        <v>9</v>
      </c>
      <c r="N29" s="52">
        <f t="shared" si="31"/>
        <v>19.8306</v>
      </c>
      <c r="O29" s="30">
        <v>9</v>
      </c>
      <c r="P29" s="52">
        <f t="shared" si="32"/>
        <v>19.8306</v>
      </c>
      <c r="Q29" s="30"/>
      <c r="R29" s="52">
        <f t="shared" si="28"/>
        <v>0</v>
      </c>
      <c r="S29" s="52">
        <f t="shared" si="29"/>
        <v>39.661200000000001</v>
      </c>
      <c r="T29" s="30">
        <v>220.34</v>
      </c>
      <c r="U29" s="52">
        <f t="shared" si="30"/>
        <v>260.00119999999998</v>
      </c>
      <c r="V29" s="53"/>
      <c r="W29" s="54"/>
      <c r="X29" s="54"/>
      <c r="Y29" s="253"/>
      <c r="Z29" s="253"/>
      <c r="AA29" s="253"/>
      <c r="AB29" s="253"/>
      <c r="AC29" s="253"/>
      <c r="AD29" s="253"/>
      <c r="AE29" s="30" t="s">
        <v>137</v>
      </c>
      <c r="AF29" s="30">
        <v>8517</v>
      </c>
      <c r="AG29" s="30">
        <v>1</v>
      </c>
      <c r="AH29" s="30">
        <v>255.12</v>
      </c>
      <c r="AI29" s="30">
        <f t="shared" si="22"/>
        <v>255.12</v>
      </c>
      <c r="AJ29" s="52">
        <v>9</v>
      </c>
      <c r="AK29" s="52">
        <f t="shared" si="25"/>
        <v>22.960799999999999</v>
      </c>
      <c r="AL29" s="52">
        <v>9</v>
      </c>
      <c r="AM29" s="52">
        <f t="shared" si="24"/>
        <v>22.960799999999999</v>
      </c>
      <c r="AN29" s="52"/>
      <c r="AO29" s="52"/>
      <c r="AP29" s="52">
        <f t="shared" si="20"/>
        <v>45.921599999999998</v>
      </c>
      <c r="AQ29" s="30">
        <f t="shared" si="26"/>
        <v>255.12</v>
      </c>
      <c r="AR29" s="158"/>
      <c r="AS29" s="257"/>
      <c r="AT29" s="80"/>
      <c r="AU29" s="257"/>
      <c r="AV29" s="257"/>
    </row>
    <row r="30" spans="1:48" s="6" customFormat="1" x14ac:dyDescent="0.25">
      <c r="B30" s="81" t="s">
        <v>95</v>
      </c>
      <c r="C30" s="51">
        <v>46179</v>
      </c>
      <c r="D30" s="30" t="s">
        <v>13</v>
      </c>
      <c r="E30" s="30" t="s">
        <v>14</v>
      </c>
      <c r="F30" s="30" t="s">
        <v>15</v>
      </c>
      <c r="G30" s="30" t="s">
        <v>16</v>
      </c>
      <c r="H30" s="30" t="s">
        <v>94</v>
      </c>
      <c r="I30" s="30">
        <v>997331</v>
      </c>
      <c r="J30" s="30">
        <v>157</v>
      </c>
      <c r="K30" s="30">
        <v>1</v>
      </c>
      <c r="L30" s="52">
        <f t="shared" si="27"/>
        <v>157</v>
      </c>
      <c r="M30" s="30"/>
      <c r="N30" s="52"/>
      <c r="O30" s="30"/>
      <c r="P30" s="52"/>
      <c r="Q30" s="30">
        <v>18</v>
      </c>
      <c r="R30" s="52">
        <f t="shared" si="28"/>
        <v>28.26</v>
      </c>
      <c r="S30" s="52">
        <f t="shared" si="29"/>
        <v>28.26</v>
      </c>
      <c r="T30" s="30">
        <v>157</v>
      </c>
      <c r="U30" s="52">
        <f t="shared" si="30"/>
        <v>185.26</v>
      </c>
      <c r="V30" s="79">
        <f>U30+U31</f>
        <v>404.74</v>
      </c>
      <c r="W30" s="54">
        <f>X30-V30</f>
        <v>0.25999999999999091</v>
      </c>
      <c r="X30" s="54">
        <v>405</v>
      </c>
      <c r="Y30" s="253"/>
      <c r="Z30" s="253"/>
      <c r="AA30" s="253"/>
      <c r="AB30" s="253"/>
      <c r="AC30" s="253"/>
      <c r="AD30" s="253"/>
      <c r="AE30" s="30" t="s">
        <v>94</v>
      </c>
      <c r="AF30" s="30">
        <v>997331</v>
      </c>
      <c r="AG30" s="30">
        <v>1</v>
      </c>
      <c r="AH30" s="30">
        <v>181.78</v>
      </c>
      <c r="AI30" s="30">
        <f t="shared" si="22"/>
        <v>181.78</v>
      </c>
      <c r="AJ30" s="52">
        <v>9</v>
      </c>
      <c r="AK30" s="52">
        <f t="shared" si="25"/>
        <v>16.360199999999999</v>
      </c>
      <c r="AL30" s="52">
        <v>9</v>
      </c>
      <c r="AM30" s="52">
        <f t="shared" si="24"/>
        <v>16.360199999999999</v>
      </c>
      <c r="AN30" s="52"/>
      <c r="AO30" s="52"/>
      <c r="AP30" s="52">
        <f t="shared" si="20"/>
        <v>32.720399999999998</v>
      </c>
      <c r="AQ30" s="30">
        <f t="shared" si="26"/>
        <v>181.78</v>
      </c>
      <c r="AR30" s="158"/>
      <c r="AS30" s="257"/>
      <c r="AT30" s="80"/>
      <c r="AU30" s="257"/>
      <c r="AV30" s="257"/>
    </row>
    <row r="31" spans="1:48" s="6" customFormat="1" x14ac:dyDescent="0.25">
      <c r="B31" s="81" t="s">
        <v>95</v>
      </c>
      <c r="C31" s="51">
        <v>46179</v>
      </c>
      <c r="D31" s="30" t="s">
        <v>13</v>
      </c>
      <c r="E31" s="30" t="s">
        <v>14</v>
      </c>
      <c r="F31" s="30" t="s">
        <v>15</v>
      </c>
      <c r="G31" s="30" t="s">
        <v>16</v>
      </c>
      <c r="H31" s="30" t="s">
        <v>38</v>
      </c>
      <c r="I31" s="30">
        <v>997331</v>
      </c>
      <c r="J31" s="30">
        <v>186</v>
      </c>
      <c r="K31" s="30">
        <v>1</v>
      </c>
      <c r="L31" s="52">
        <f t="shared" si="27"/>
        <v>186</v>
      </c>
      <c r="M31" s="30"/>
      <c r="N31" s="52"/>
      <c r="O31" s="30"/>
      <c r="P31" s="52"/>
      <c r="Q31" s="30">
        <v>18</v>
      </c>
      <c r="R31" s="52">
        <f t="shared" si="28"/>
        <v>33.479999999999997</v>
      </c>
      <c r="S31" s="52">
        <f t="shared" si="29"/>
        <v>33.479999999999997</v>
      </c>
      <c r="T31" s="30">
        <v>186</v>
      </c>
      <c r="U31" s="52">
        <f t="shared" si="30"/>
        <v>219.48</v>
      </c>
      <c r="V31" s="79"/>
      <c r="W31" s="54"/>
      <c r="X31" s="54"/>
      <c r="Y31" s="254"/>
      <c r="Z31" s="254"/>
      <c r="AA31" s="254"/>
      <c r="AB31" s="254"/>
      <c r="AC31" s="254"/>
      <c r="AD31" s="254"/>
      <c r="AE31" s="30" t="s">
        <v>38</v>
      </c>
      <c r="AF31" s="30">
        <v>997331</v>
      </c>
      <c r="AG31" s="30">
        <v>1</v>
      </c>
      <c r="AH31" s="30">
        <v>215.36</v>
      </c>
      <c r="AI31" s="30">
        <f t="shared" si="22"/>
        <v>215.36</v>
      </c>
      <c r="AJ31" s="52">
        <v>9</v>
      </c>
      <c r="AK31" s="52">
        <f t="shared" si="25"/>
        <v>19.382400000000004</v>
      </c>
      <c r="AL31" s="52">
        <v>9</v>
      </c>
      <c r="AM31" s="52">
        <f t="shared" si="24"/>
        <v>19.382400000000004</v>
      </c>
      <c r="AN31" s="52"/>
      <c r="AO31" s="52"/>
      <c r="AP31" s="52">
        <f t="shared" si="20"/>
        <v>38.764800000000008</v>
      </c>
      <c r="AQ31" s="30">
        <f t="shared" si="26"/>
        <v>215.36</v>
      </c>
      <c r="AR31" s="158"/>
      <c r="AS31" s="257"/>
      <c r="AT31" s="109"/>
      <c r="AU31" s="257"/>
      <c r="AV31" s="257"/>
    </row>
    <row r="32" spans="1:48" s="75" customFormat="1" x14ac:dyDescent="0.25">
      <c r="B32" s="76" t="s">
        <v>98</v>
      </c>
      <c r="C32" s="92">
        <v>46181</v>
      </c>
      <c r="D32" s="76" t="s">
        <v>13</v>
      </c>
      <c r="E32" s="76" t="s">
        <v>14</v>
      </c>
      <c r="F32" s="76" t="s">
        <v>15</v>
      </c>
      <c r="G32" s="76" t="s">
        <v>16</v>
      </c>
      <c r="H32" s="76" t="s">
        <v>99</v>
      </c>
      <c r="I32" s="76">
        <v>997331</v>
      </c>
      <c r="J32" s="76">
        <v>157</v>
      </c>
      <c r="K32" s="76">
        <v>1</v>
      </c>
      <c r="L32" s="77">
        <f t="shared" ref="L32:L36" si="33">J32*K32</f>
        <v>157</v>
      </c>
      <c r="M32" s="76">
        <v>0</v>
      </c>
      <c r="N32" s="77">
        <v>0</v>
      </c>
      <c r="O32" s="76"/>
      <c r="P32" s="77">
        <v>0</v>
      </c>
      <c r="Q32" s="76">
        <v>18</v>
      </c>
      <c r="R32" s="77">
        <f t="shared" ref="R32:R36" si="34">(Q32*L32)/100</f>
        <v>28.26</v>
      </c>
      <c r="S32" s="77">
        <f t="shared" ref="S32:S36" si="35">N32+P32+R32</f>
        <v>28.26</v>
      </c>
      <c r="T32" s="76">
        <v>157</v>
      </c>
      <c r="U32" s="77">
        <f t="shared" ref="U32:U36" si="36">(T32+S32)</f>
        <v>185.26</v>
      </c>
      <c r="V32" s="78">
        <f>U32</f>
        <v>185.26</v>
      </c>
      <c r="W32" s="125">
        <f>X32-V32</f>
        <v>-0.25999999999999091</v>
      </c>
      <c r="X32" s="125">
        <v>185</v>
      </c>
      <c r="Y32" s="171">
        <v>46181</v>
      </c>
      <c r="Z32" s="76" t="s">
        <v>91</v>
      </c>
      <c r="AA32" s="115" t="s">
        <v>140</v>
      </c>
      <c r="AB32" s="76" t="s">
        <v>76</v>
      </c>
      <c r="AC32" s="76" t="s">
        <v>77</v>
      </c>
      <c r="AD32" s="76" t="s">
        <v>141</v>
      </c>
      <c r="AE32" s="76" t="s">
        <v>99</v>
      </c>
      <c r="AF32" s="76">
        <v>997331</v>
      </c>
      <c r="AG32" s="76">
        <v>1</v>
      </c>
      <c r="AH32" s="76">
        <v>169.49</v>
      </c>
      <c r="AI32" s="76">
        <f t="shared" si="22"/>
        <v>169.49</v>
      </c>
      <c r="AJ32" s="77">
        <v>9</v>
      </c>
      <c r="AK32" s="77">
        <f t="shared" si="25"/>
        <v>15.254100000000001</v>
      </c>
      <c r="AL32" s="77">
        <v>9</v>
      </c>
      <c r="AM32" s="77">
        <f t="shared" si="24"/>
        <v>15.254100000000001</v>
      </c>
      <c r="AN32" s="77"/>
      <c r="AO32" s="77"/>
      <c r="AP32" s="77">
        <f t="shared" si="20"/>
        <v>30.508200000000002</v>
      </c>
      <c r="AQ32" s="76">
        <f t="shared" si="26"/>
        <v>169.49</v>
      </c>
      <c r="AR32" s="77"/>
      <c r="AS32" s="77">
        <f>AQ32+AP32</f>
        <v>199.9982</v>
      </c>
      <c r="AT32" s="76"/>
      <c r="AU32" s="78"/>
      <c r="AV32" s="77"/>
    </row>
    <row r="33" spans="2:48" s="2" customFormat="1" ht="15" customHeight="1" x14ac:dyDescent="0.25">
      <c r="B33" s="43" t="s">
        <v>100</v>
      </c>
      <c r="C33" s="44">
        <v>46187</v>
      </c>
      <c r="D33" s="43" t="s">
        <v>13</v>
      </c>
      <c r="E33" s="43" t="s">
        <v>14</v>
      </c>
      <c r="F33" s="43" t="s">
        <v>15</v>
      </c>
      <c r="G33" s="43" t="s">
        <v>16</v>
      </c>
      <c r="H33" s="43" t="s">
        <v>101</v>
      </c>
      <c r="I33" s="43">
        <v>997331</v>
      </c>
      <c r="J33" s="43">
        <v>157</v>
      </c>
      <c r="K33" s="43">
        <v>1</v>
      </c>
      <c r="L33" s="45">
        <f t="shared" si="33"/>
        <v>157</v>
      </c>
      <c r="M33" s="43">
        <v>0</v>
      </c>
      <c r="N33" s="45">
        <v>0</v>
      </c>
      <c r="O33" s="43"/>
      <c r="P33" s="45">
        <v>0</v>
      </c>
      <c r="Q33" s="43">
        <v>18</v>
      </c>
      <c r="R33" s="45">
        <f t="shared" si="34"/>
        <v>28.26</v>
      </c>
      <c r="S33" s="45">
        <f t="shared" si="35"/>
        <v>28.26</v>
      </c>
      <c r="T33" s="43">
        <v>157</v>
      </c>
      <c r="U33" s="45">
        <f t="shared" si="36"/>
        <v>185.26</v>
      </c>
      <c r="V33" s="73">
        <f>U33+U34</f>
        <v>404.74</v>
      </c>
      <c r="W33" s="47">
        <f>X33-V33</f>
        <v>0.25999999999999091</v>
      </c>
      <c r="X33" s="47">
        <v>405</v>
      </c>
      <c r="Y33" s="258">
        <v>46187</v>
      </c>
      <c r="Z33" s="276" t="s">
        <v>142</v>
      </c>
      <c r="AA33" s="277" t="s">
        <v>143</v>
      </c>
      <c r="AB33" s="261" t="s">
        <v>76</v>
      </c>
      <c r="AC33" s="261" t="s">
        <v>77</v>
      </c>
      <c r="AD33" s="261" t="s">
        <v>113</v>
      </c>
      <c r="AE33" s="43" t="s">
        <v>101</v>
      </c>
      <c r="AF33" s="43">
        <v>997331</v>
      </c>
      <c r="AG33" s="43">
        <v>1</v>
      </c>
      <c r="AH33" s="43">
        <v>180</v>
      </c>
      <c r="AI33" s="43">
        <f t="shared" si="22"/>
        <v>180</v>
      </c>
      <c r="AJ33" s="45">
        <v>9</v>
      </c>
      <c r="AK33" s="45">
        <f t="shared" si="25"/>
        <v>16.2</v>
      </c>
      <c r="AL33" s="45">
        <v>9</v>
      </c>
      <c r="AM33" s="45">
        <f t="shared" si="24"/>
        <v>16.2</v>
      </c>
      <c r="AN33" s="45"/>
      <c r="AO33" s="45"/>
      <c r="AP33" s="45">
        <f t="shared" si="20"/>
        <v>32.4</v>
      </c>
      <c r="AQ33" s="43">
        <f t="shared" si="26"/>
        <v>180</v>
      </c>
      <c r="AR33" s="159"/>
      <c r="AS33" s="273">
        <f>AP33+AP34+AP35+AQ33+AQ34+AQ35</f>
        <v>775.4</v>
      </c>
      <c r="AT33" s="43"/>
      <c r="AU33" s="273">
        <f>AV33-AS33</f>
        <v>-0.39999999999997726</v>
      </c>
      <c r="AV33" s="273">
        <v>775</v>
      </c>
    </row>
    <row r="34" spans="2:48" s="2" customFormat="1" x14ac:dyDescent="0.25">
      <c r="B34" s="43" t="s">
        <v>100</v>
      </c>
      <c r="C34" s="44">
        <v>46187</v>
      </c>
      <c r="D34" s="43" t="s">
        <v>13</v>
      </c>
      <c r="E34" s="43" t="s">
        <v>14</v>
      </c>
      <c r="F34" s="43" t="s">
        <v>15</v>
      </c>
      <c r="G34" s="43" t="s">
        <v>16</v>
      </c>
      <c r="H34" s="43" t="s">
        <v>38</v>
      </c>
      <c r="I34" s="43">
        <v>997331</v>
      </c>
      <c r="J34" s="43">
        <v>186</v>
      </c>
      <c r="K34" s="43">
        <v>1</v>
      </c>
      <c r="L34" s="45">
        <f t="shared" si="33"/>
        <v>186</v>
      </c>
      <c r="M34" s="43">
        <v>0</v>
      </c>
      <c r="N34" s="45">
        <v>0</v>
      </c>
      <c r="O34" s="43"/>
      <c r="P34" s="45">
        <v>0</v>
      </c>
      <c r="Q34" s="43">
        <v>18</v>
      </c>
      <c r="R34" s="45">
        <f t="shared" si="34"/>
        <v>33.479999999999997</v>
      </c>
      <c r="S34" s="45">
        <f t="shared" si="35"/>
        <v>33.479999999999997</v>
      </c>
      <c r="T34" s="43">
        <v>186</v>
      </c>
      <c r="U34" s="45">
        <f t="shared" si="36"/>
        <v>219.48</v>
      </c>
      <c r="V34" s="73"/>
      <c r="W34" s="47"/>
      <c r="X34" s="47"/>
      <c r="Y34" s="259"/>
      <c r="Z34" s="259"/>
      <c r="AA34" s="278"/>
      <c r="AB34" s="262"/>
      <c r="AC34" s="262"/>
      <c r="AD34" s="262"/>
      <c r="AE34" s="43" t="s">
        <v>38</v>
      </c>
      <c r="AF34" s="43">
        <v>997331</v>
      </c>
      <c r="AG34" s="43">
        <v>1</v>
      </c>
      <c r="AH34" s="43">
        <v>200</v>
      </c>
      <c r="AI34" s="43">
        <f t="shared" si="22"/>
        <v>200</v>
      </c>
      <c r="AJ34" s="45">
        <v>9</v>
      </c>
      <c r="AK34" s="45">
        <f t="shared" si="25"/>
        <v>18</v>
      </c>
      <c r="AL34" s="45">
        <v>9</v>
      </c>
      <c r="AM34" s="45">
        <f t="shared" si="24"/>
        <v>18</v>
      </c>
      <c r="AN34" s="45"/>
      <c r="AO34" s="45"/>
      <c r="AP34" s="45">
        <f t="shared" si="20"/>
        <v>36</v>
      </c>
      <c r="AQ34" s="43">
        <f t="shared" si="26"/>
        <v>200</v>
      </c>
      <c r="AR34" s="160"/>
      <c r="AS34" s="274"/>
      <c r="AT34" s="43"/>
      <c r="AU34" s="259"/>
      <c r="AV34" s="274"/>
    </row>
    <row r="35" spans="2:48" s="2" customFormat="1" x14ac:dyDescent="0.25">
      <c r="B35" s="43"/>
      <c r="C35" s="44"/>
      <c r="D35" s="43"/>
      <c r="E35" s="43"/>
      <c r="F35" s="43"/>
      <c r="G35" s="43"/>
      <c r="H35" s="43"/>
      <c r="I35" s="43"/>
      <c r="J35" s="43"/>
      <c r="K35" s="43"/>
      <c r="L35" s="45"/>
      <c r="M35" s="43"/>
      <c r="N35" s="45"/>
      <c r="O35" s="43"/>
      <c r="P35" s="45"/>
      <c r="Q35" s="43"/>
      <c r="R35" s="45"/>
      <c r="S35" s="45"/>
      <c r="T35" s="43"/>
      <c r="U35" s="45"/>
      <c r="V35" s="73"/>
      <c r="W35" s="47"/>
      <c r="X35" s="47"/>
      <c r="Y35" s="260"/>
      <c r="Z35" s="260"/>
      <c r="AA35" s="279"/>
      <c r="AB35" s="263"/>
      <c r="AC35" s="263"/>
      <c r="AD35" s="263"/>
      <c r="AE35" s="43" t="s">
        <v>123</v>
      </c>
      <c r="AF35" s="43">
        <v>9987</v>
      </c>
      <c r="AG35" s="43">
        <v>1</v>
      </c>
      <c r="AH35" s="43">
        <v>150</v>
      </c>
      <c r="AI35" s="43">
        <f t="shared" si="22"/>
        <v>150</v>
      </c>
      <c r="AJ35" s="45">
        <v>9</v>
      </c>
      <c r="AK35" s="45">
        <f t="shared" si="25"/>
        <v>13.5</v>
      </c>
      <c r="AL35" s="45">
        <v>9</v>
      </c>
      <c r="AM35" s="45">
        <f t="shared" si="24"/>
        <v>13.5</v>
      </c>
      <c r="AN35" s="45"/>
      <c r="AO35" s="45"/>
      <c r="AP35" s="45">
        <f t="shared" si="20"/>
        <v>27</v>
      </c>
      <c r="AQ35" s="43">
        <v>300</v>
      </c>
      <c r="AR35" s="161"/>
      <c r="AS35" s="275"/>
      <c r="AT35" s="43"/>
      <c r="AU35" s="260"/>
      <c r="AV35" s="275"/>
    </row>
    <row r="36" spans="2:48" s="9" customFormat="1" x14ac:dyDescent="0.25">
      <c r="B36" s="38" t="s">
        <v>102</v>
      </c>
      <c r="C36" s="39">
        <v>46188</v>
      </c>
      <c r="D36" s="38" t="s">
        <v>32</v>
      </c>
      <c r="E36" s="38" t="s">
        <v>14</v>
      </c>
      <c r="F36" s="38" t="s">
        <v>15</v>
      </c>
      <c r="G36" s="38" t="s">
        <v>16</v>
      </c>
      <c r="H36" s="38" t="s">
        <v>103</v>
      </c>
      <c r="I36" s="38">
        <v>85176290</v>
      </c>
      <c r="J36" s="38">
        <v>1101.69</v>
      </c>
      <c r="K36" s="38">
        <v>1</v>
      </c>
      <c r="L36" s="40">
        <f t="shared" si="33"/>
        <v>1101.69</v>
      </c>
      <c r="M36" s="38">
        <v>9</v>
      </c>
      <c r="N36" s="40">
        <f t="shared" ref="N36" si="37">(M36*L36)/100</f>
        <v>99.152100000000004</v>
      </c>
      <c r="O36" s="38">
        <v>9</v>
      </c>
      <c r="P36" s="40">
        <f t="shared" ref="P36" si="38">(O36*L36)/100</f>
        <v>99.152100000000004</v>
      </c>
      <c r="Q36" s="38"/>
      <c r="R36" s="40">
        <f t="shared" si="34"/>
        <v>0</v>
      </c>
      <c r="S36" s="40">
        <f t="shared" si="35"/>
        <v>198.30420000000001</v>
      </c>
      <c r="T36" s="38">
        <v>1101.69</v>
      </c>
      <c r="U36" s="40">
        <f t="shared" si="36"/>
        <v>1299.9942000000001</v>
      </c>
      <c r="V36" s="41">
        <f>U36</f>
        <v>1299.9942000000001</v>
      </c>
      <c r="W36" s="41">
        <f>X36-V36</f>
        <v>5.7999999999083229E-3</v>
      </c>
      <c r="X36" s="42">
        <v>1300</v>
      </c>
      <c r="Y36" s="165">
        <v>46188</v>
      </c>
      <c r="Z36" s="38" t="s">
        <v>144</v>
      </c>
      <c r="AA36" s="110" t="s">
        <v>145</v>
      </c>
      <c r="AB36" s="38" t="s">
        <v>76</v>
      </c>
      <c r="AC36" s="38" t="s">
        <v>77</v>
      </c>
      <c r="AD36" s="38" t="s">
        <v>146</v>
      </c>
      <c r="AE36" s="38" t="s">
        <v>103</v>
      </c>
      <c r="AF36" s="38">
        <v>85176290</v>
      </c>
      <c r="AG36" s="38">
        <v>1</v>
      </c>
      <c r="AH36" s="38">
        <v>1355.93</v>
      </c>
      <c r="AI36" s="38">
        <f t="shared" si="22"/>
        <v>1355.93</v>
      </c>
      <c r="AJ36" s="40">
        <v>9</v>
      </c>
      <c r="AK36" s="40">
        <f t="shared" si="25"/>
        <v>122.03370000000001</v>
      </c>
      <c r="AL36" s="40">
        <v>9</v>
      </c>
      <c r="AM36" s="40">
        <f t="shared" si="24"/>
        <v>122.03370000000001</v>
      </c>
      <c r="AN36" s="40"/>
      <c r="AO36" s="40"/>
      <c r="AP36" s="40">
        <f t="shared" si="20"/>
        <v>244.06740000000002</v>
      </c>
      <c r="AQ36" s="38">
        <f>AI36</f>
        <v>1355.93</v>
      </c>
      <c r="AR36" s="40"/>
      <c r="AS36" s="40">
        <f>AQ36+AP36</f>
        <v>1599.9974000000002</v>
      </c>
      <c r="AT36" s="38"/>
      <c r="AU36" s="38"/>
      <c r="AV36" s="40"/>
    </row>
    <row r="37" spans="2:48" s="83" customFormat="1" ht="15" customHeight="1" x14ac:dyDescent="0.25">
      <c r="B37" s="84" t="s">
        <v>104</v>
      </c>
      <c r="C37" s="93">
        <v>46191</v>
      </c>
      <c r="D37" s="84" t="s">
        <v>18</v>
      </c>
      <c r="E37" s="84" t="s">
        <v>14</v>
      </c>
      <c r="F37" s="84" t="s">
        <v>15</v>
      </c>
      <c r="G37" s="84" t="s">
        <v>16</v>
      </c>
      <c r="H37" s="84" t="s">
        <v>105</v>
      </c>
      <c r="I37" s="84">
        <v>8523</v>
      </c>
      <c r="J37" s="84">
        <v>2203.39</v>
      </c>
      <c r="K37" s="84">
        <v>1</v>
      </c>
      <c r="L37" s="85">
        <f>J37*K37</f>
        <v>2203.39</v>
      </c>
      <c r="M37" s="84">
        <v>9</v>
      </c>
      <c r="N37" s="85">
        <f>(M37*L37)/100</f>
        <v>198.30509999999998</v>
      </c>
      <c r="O37" s="84">
        <v>9</v>
      </c>
      <c r="P37" s="85">
        <f>(O37*L37)/100</f>
        <v>198.30509999999998</v>
      </c>
      <c r="Q37" s="84"/>
      <c r="R37" s="85">
        <f>(Q37*L37)/100</f>
        <v>0</v>
      </c>
      <c r="S37" s="85">
        <f>N37+P37+R37</f>
        <v>396.61019999999996</v>
      </c>
      <c r="T37" s="84">
        <v>2203.39</v>
      </c>
      <c r="U37" s="85">
        <f>T37+S37</f>
        <v>2600.0001999999999</v>
      </c>
      <c r="V37" s="94">
        <f>U37+U38</f>
        <v>2669.9978000000001</v>
      </c>
      <c r="W37" s="94">
        <f>V37-X37</f>
        <v>-2.1999999999025022E-3</v>
      </c>
      <c r="X37" s="179">
        <v>2670</v>
      </c>
      <c r="Y37" s="264">
        <v>46200</v>
      </c>
      <c r="Z37" s="179" t="s">
        <v>147</v>
      </c>
      <c r="AA37" s="268" t="s">
        <v>148</v>
      </c>
      <c r="AB37" s="179" t="s">
        <v>76</v>
      </c>
      <c r="AC37" s="179" t="s">
        <v>77</v>
      </c>
      <c r="AD37" s="179" t="s">
        <v>136</v>
      </c>
      <c r="AE37" s="84" t="s">
        <v>105</v>
      </c>
      <c r="AF37" s="84">
        <v>8523</v>
      </c>
      <c r="AG37" s="84">
        <v>1</v>
      </c>
      <c r="AH37" s="84">
        <v>2520.37</v>
      </c>
      <c r="AI37" s="84">
        <f>AH37*AG37</f>
        <v>2520.37</v>
      </c>
      <c r="AJ37" s="85">
        <v>9</v>
      </c>
      <c r="AK37" s="85">
        <f t="shared" si="25"/>
        <v>226.83329999999998</v>
      </c>
      <c r="AL37" s="85">
        <v>9</v>
      </c>
      <c r="AM37" s="85">
        <f t="shared" si="24"/>
        <v>226.83329999999998</v>
      </c>
      <c r="AN37" s="85"/>
      <c r="AO37" s="85"/>
      <c r="AP37" s="85">
        <f t="shared" si="20"/>
        <v>453.66659999999996</v>
      </c>
      <c r="AQ37" s="84">
        <f>AI37</f>
        <v>2520.37</v>
      </c>
      <c r="AR37" s="85">
        <f>AP37+AQ37</f>
        <v>2974.0365999999999</v>
      </c>
      <c r="AS37" s="282">
        <f>AR37+AR38+AR39+AR40+AP41+AQ41</f>
        <v>6400.0014000000001</v>
      </c>
      <c r="AT37" s="84"/>
      <c r="AU37" s="84"/>
      <c r="AV37" s="85"/>
    </row>
    <row r="38" spans="2:48" s="83" customFormat="1" x14ac:dyDescent="0.25">
      <c r="B38" s="84" t="s">
        <v>104</v>
      </c>
      <c r="C38" s="93">
        <v>46191</v>
      </c>
      <c r="D38" s="84" t="s">
        <v>18</v>
      </c>
      <c r="E38" s="84" t="s">
        <v>14</v>
      </c>
      <c r="F38" s="84" t="s">
        <v>15</v>
      </c>
      <c r="G38" s="84" t="s">
        <v>16</v>
      </c>
      <c r="H38" s="84" t="s">
        <v>106</v>
      </c>
      <c r="I38" s="84">
        <v>8471</v>
      </c>
      <c r="J38" s="84">
        <v>59.32</v>
      </c>
      <c r="K38" s="84">
        <v>1</v>
      </c>
      <c r="L38" s="85">
        <f>J38*K38</f>
        <v>59.32</v>
      </c>
      <c r="M38" s="84">
        <v>9</v>
      </c>
      <c r="N38" s="85">
        <f>(M38*L38)/100</f>
        <v>5.3388</v>
      </c>
      <c r="O38" s="84">
        <v>9</v>
      </c>
      <c r="P38" s="85">
        <f>(O38*L38)/100</f>
        <v>5.3388</v>
      </c>
      <c r="Q38" s="84"/>
      <c r="R38" s="85">
        <f>(Q38*L38)/100</f>
        <v>0</v>
      </c>
      <c r="S38" s="85">
        <f>N38+P38+R38</f>
        <v>10.6776</v>
      </c>
      <c r="T38" s="84">
        <v>59.32</v>
      </c>
      <c r="U38" s="85">
        <f>(T38+S38)</f>
        <v>69.997600000000006</v>
      </c>
      <c r="V38" s="94"/>
      <c r="W38" s="95"/>
      <c r="X38" s="180"/>
      <c r="Y38" s="265"/>
      <c r="Z38" s="267"/>
      <c r="AA38" s="269"/>
      <c r="AB38" s="267"/>
      <c r="AC38" s="267"/>
      <c r="AD38" s="267"/>
      <c r="AE38" s="84" t="s">
        <v>106</v>
      </c>
      <c r="AF38" s="84">
        <v>8471</v>
      </c>
      <c r="AG38" s="84">
        <v>1</v>
      </c>
      <c r="AH38" s="84">
        <v>65</v>
      </c>
      <c r="AI38" s="84">
        <f t="shared" si="22"/>
        <v>65</v>
      </c>
      <c r="AJ38" s="85">
        <v>9</v>
      </c>
      <c r="AK38" s="85">
        <f t="shared" si="25"/>
        <v>5.85</v>
      </c>
      <c r="AL38" s="85">
        <v>9</v>
      </c>
      <c r="AM38" s="85">
        <f t="shared" si="24"/>
        <v>5.85</v>
      </c>
      <c r="AN38" s="85"/>
      <c r="AO38" s="85"/>
      <c r="AP38" s="85">
        <f t="shared" si="20"/>
        <v>11.7</v>
      </c>
      <c r="AQ38" s="84">
        <f>AI38</f>
        <v>65</v>
      </c>
      <c r="AR38" s="85">
        <f t="shared" ref="AR38:AR48" si="39">AP38+AQ38</f>
        <v>76.7</v>
      </c>
      <c r="AS38" s="283"/>
      <c r="AT38" s="84"/>
      <c r="AU38" s="84"/>
      <c r="AV38" s="85"/>
    </row>
    <row r="39" spans="2:48" s="83" customFormat="1" x14ac:dyDescent="0.25">
      <c r="B39" s="84" t="s">
        <v>107</v>
      </c>
      <c r="C39" s="93">
        <v>46195</v>
      </c>
      <c r="D39" s="84" t="s">
        <v>13</v>
      </c>
      <c r="E39" s="84" t="s">
        <v>14</v>
      </c>
      <c r="F39" s="84" t="s">
        <v>15</v>
      </c>
      <c r="G39" s="84" t="s">
        <v>16</v>
      </c>
      <c r="H39" s="84" t="s">
        <v>94</v>
      </c>
      <c r="I39" s="84">
        <v>997331</v>
      </c>
      <c r="J39" s="84">
        <v>157</v>
      </c>
      <c r="K39" s="84">
        <v>1</v>
      </c>
      <c r="L39" s="85">
        <f t="shared" ref="L39:L43" si="40">J39*K39</f>
        <v>157</v>
      </c>
      <c r="M39" s="84">
        <v>0</v>
      </c>
      <c r="N39" s="85">
        <v>0</v>
      </c>
      <c r="O39" s="84"/>
      <c r="P39" s="85">
        <v>0</v>
      </c>
      <c r="Q39" s="84">
        <v>18</v>
      </c>
      <c r="R39" s="85">
        <f t="shared" ref="R39:R42" si="41">(Q39*L39)/100</f>
        <v>28.26</v>
      </c>
      <c r="S39" s="85">
        <f t="shared" ref="S39:S42" si="42">N39+P39+R39</f>
        <v>28.26</v>
      </c>
      <c r="T39" s="84">
        <v>157</v>
      </c>
      <c r="U39" s="85">
        <f t="shared" ref="U39:U43" si="43">(T39+S39)</f>
        <v>185.26</v>
      </c>
      <c r="V39" s="86">
        <f>U39+U40</f>
        <v>404.74</v>
      </c>
      <c r="W39" s="95">
        <f>X39-V39</f>
        <v>0.25999999999999091</v>
      </c>
      <c r="X39" s="95">
        <v>405</v>
      </c>
      <c r="Y39" s="265"/>
      <c r="Z39" s="267"/>
      <c r="AA39" s="269"/>
      <c r="AB39" s="267"/>
      <c r="AC39" s="267"/>
      <c r="AD39" s="267"/>
      <c r="AE39" s="84" t="s">
        <v>94</v>
      </c>
      <c r="AF39" s="84">
        <v>997331</v>
      </c>
      <c r="AG39" s="84">
        <v>1</v>
      </c>
      <c r="AH39" s="84">
        <v>590.22</v>
      </c>
      <c r="AI39" s="84">
        <f t="shared" ref="AI39:AI48" si="44">AH39*AG39</f>
        <v>590.22</v>
      </c>
      <c r="AJ39" s="85">
        <v>9</v>
      </c>
      <c r="AK39" s="85">
        <f t="shared" ref="AK39:AK50" si="45">(AJ39*AI39)/100</f>
        <v>53.119800000000005</v>
      </c>
      <c r="AL39" s="85">
        <v>9</v>
      </c>
      <c r="AM39" s="85">
        <f t="shared" ref="AM39:AM50" si="46">(AL39*AI39)/100</f>
        <v>53.119800000000005</v>
      </c>
      <c r="AN39" s="85"/>
      <c r="AO39" s="85"/>
      <c r="AP39" s="85">
        <f t="shared" ref="AP39:AP48" si="47">AM39+AK39</f>
        <v>106.23960000000001</v>
      </c>
      <c r="AQ39" s="84">
        <f t="shared" ref="AQ39:AQ48" si="48">AI39</f>
        <v>590.22</v>
      </c>
      <c r="AR39" s="85">
        <f t="shared" si="39"/>
        <v>696.45960000000002</v>
      </c>
      <c r="AS39" s="283"/>
      <c r="AT39" s="84"/>
      <c r="AU39" s="84"/>
      <c r="AV39" s="85"/>
    </row>
    <row r="40" spans="2:48" s="83" customFormat="1" x14ac:dyDescent="0.25">
      <c r="B40" s="84" t="s">
        <v>107</v>
      </c>
      <c r="C40" s="93">
        <v>46195</v>
      </c>
      <c r="D40" s="84" t="s">
        <v>13</v>
      </c>
      <c r="E40" s="84" t="s">
        <v>14</v>
      </c>
      <c r="F40" s="84" t="s">
        <v>15</v>
      </c>
      <c r="G40" s="84" t="s">
        <v>16</v>
      </c>
      <c r="H40" s="84" t="s">
        <v>38</v>
      </c>
      <c r="I40" s="84">
        <v>997331</v>
      </c>
      <c r="J40" s="84">
        <v>186</v>
      </c>
      <c r="K40" s="84">
        <v>1</v>
      </c>
      <c r="L40" s="85">
        <f t="shared" si="40"/>
        <v>186</v>
      </c>
      <c r="M40" s="84">
        <v>0</v>
      </c>
      <c r="N40" s="85">
        <v>0</v>
      </c>
      <c r="O40" s="84"/>
      <c r="P40" s="85">
        <v>0</v>
      </c>
      <c r="Q40" s="84">
        <v>18</v>
      </c>
      <c r="R40" s="85">
        <f t="shared" si="41"/>
        <v>33.479999999999997</v>
      </c>
      <c r="S40" s="85">
        <f t="shared" si="42"/>
        <v>33.479999999999997</v>
      </c>
      <c r="T40" s="84">
        <v>186</v>
      </c>
      <c r="U40" s="85">
        <f t="shared" si="43"/>
        <v>219.48</v>
      </c>
      <c r="V40" s="86"/>
      <c r="W40" s="95"/>
      <c r="X40" s="95"/>
      <c r="Y40" s="265"/>
      <c r="Z40" s="267"/>
      <c r="AA40" s="269"/>
      <c r="AB40" s="267"/>
      <c r="AC40" s="267"/>
      <c r="AD40" s="267"/>
      <c r="AE40" s="84" t="s">
        <v>38</v>
      </c>
      <c r="AF40" s="84">
        <v>997331</v>
      </c>
      <c r="AG40" s="84">
        <v>1</v>
      </c>
      <c r="AH40" s="84">
        <v>637.97</v>
      </c>
      <c r="AI40" s="84">
        <f t="shared" si="44"/>
        <v>637.97</v>
      </c>
      <c r="AJ40" s="85">
        <v>9</v>
      </c>
      <c r="AK40" s="85">
        <f t="shared" si="45"/>
        <v>57.417300000000004</v>
      </c>
      <c r="AL40" s="85">
        <v>9</v>
      </c>
      <c r="AM40" s="85">
        <f t="shared" si="46"/>
        <v>57.417300000000004</v>
      </c>
      <c r="AN40" s="85"/>
      <c r="AO40" s="85"/>
      <c r="AP40" s="85">
        <f t="shared" si="47"/>
        <v>114.83460000000001</v>
      </c>
      <c r="AQ40" s="84">
        <f t="shared" si="48"/>
        <v>637.97</v>
      </c>
      <c r="AR40" s="85">
        <f t="shared" si="39"/>
        <v>752.80460000000005</v>
      </c>
      <c r="AS40" s="283"/>
      <c r="AT40" s="84"/>
      <c r="AU40" s="84"/>
      <c r="AV40" s="85"/>
    </row>
    <row r="41" spans="2:48" s="83" customFormat="1" x14ac:dyDescent="0.25">
      <c r="B41" s="84"/>
      <c r="C41" s="93"/>
      <c r="D41" s="84"/>
      <c r="E41" s="84"/>
      <c r="F41" s="84"/>
      <c r="G41" s="84"/>
      <c r="H41" s="84"/>
      <c r="I41" s="84"/>
      <c r="J41" s="84"/>
      <c r="K41" s="84"/>
      <c r="L41" s="85"/>
      <c r="M41" s="84"/>
      <c r="N41" s="85"/>
      <c r="O41" s="84"/>
      <c r="P41" s="85"/>
      <c r="Q41" s="84"/>
      <c r="R41" s="85"/>
      <c r="S41" s="85"/>
      <c r="T41" s="84"/>
      <c r="U41" s="85"/>
      <c r="V41" s="86"/>
      <c r="W41" s="95"/>
      <c r="X41" s="95"/>
      <c r="Y41" s="266"/>
      <c r="Z41" s="180"/>
      <c r="AA41" s="270"/>
      <c r="AB41" s="180"/>
      <c r="AC41" s="180"/>
      <c r="AD41" s="180"/>
      <c r="AE41" s="84" t="s">
        <v>149</v>
      </c>
      <c r="AF41" s="84">
        <v>8473309</v>
      </c>
      <c r="AG41" s="84">
        <v>1</v>
      </c>
      <c r="AH41" s="84">
        <v>1610.17</v>
      </c>
      <c r="AI41" s="84">
        <f t="shared" si="44"/>
        <v>1610.17</v>
      </c>
      <c r="AJ41" s="85">
        <v>9</v>
      </c>
      <c r="AK41" s="85">
        <f t="shared" si="45"/>
        <v>144.9153</v>
      </c>
      <c r="AL41" s="85">
        <v>9</v>
      </c>
      <c r="AM41" s="85">
        <f t="shared" si="46"/>
        <v>144.9153</v>
      </c>
      <c r="AN41" s="85"/>
      <c r="AO41" s="85"/>
      <c r="AP41" s="85">
        <f t="shared" si="47"/>
        <v>289.8306</v>
      </c>
      <c r="AQ41" s="84">
        <f t="shared" si="48"/>
        <v>1610.17</v>
      </c>
      <c r="AR41" s="85">
        <f t="shared" si="39"/>
        <v>1900.0006000000001</v>
      </c>
      <c r="AS41" s="284"/>
      <c r="AT41" s="84"/>
      <c r="AU41" s="84"/>
      <c r="AV41" s="85"/>
    </row>
    <row r="42" spans="2:48" s="87" customFormat="1" ht="17.25" customHeight="1" x14ac:dyDescent="0.25">
      <c r="B42" s="88" t="s">
        <v>108</v>
      </c>
      <c r="C42" s="96">
        <v>46196</v>
      </c>
      <c r="D42" s="88" t="s">
        <v>18</v>
      </c>
      <c r="E42" s="88" t="s">
        <v>14</v>
      </c>
      <c r="F42" s="88" t="s">
        <v>15</v>
      </c>
      <c r="G42" s="88" t="s">
        <v>16</v>
      </c>
      <c r="H42" s="88" t="s">
        <v>47</v>
      </c>
      <c r="I42" s="88">
        <v>8517</v>
      </c>
      <c r="J42" s="88">
        <v>220.34</v>
      </c>
      <c r="K42" s="88">
        <v>1</v>
      </c>
      <c r="L42" s="89">
        <f t="shared" si="40"/>
        <v>220.34</v>
      </c>
      <c r="M42" s="88">
        <v>9</v>
      </c>
      <c r="N42" s="89">
        <f t="shared" ref="N42" si="49">(M42*L42)/100</f>
        <v>19.8306</v>
      </c>
      <c r="O42" s="88">
        <v>9</v>
      </c>
      <c r="P42" s="89">
        <f t="shared" ref="P42" si="50">(M42*L42)/100</f>
        <v>19.8306</v>
      </c>
      <c r="Q42" s="88"/>
      <c r="R42" s="89">
        <f t="shared" si="41"/>
        <v>0</v>
      </c>
      <c r="S42" s="89">
        <f t="shared" si="42"/>
        <v>39.661200000000001</v>
      </c>
      <c r="T42" s="88">
        <v>220.34</v>
      </c>
      <c r="U42" s="89">
        <f t="shared" si="43"/>
        <v>260.00119999999998</v>
      </c>
      <c r="V42" s="90">
        <f>U42+U43+U44+U45</f>
        <v>4614.9917999999998</v>
      </c>
      <c r="W42" s="90">
        <f>X42-V42</f>
        <v>8.2000000002153683E-3</v>
      </c>
      <c r="X42" s="91">
        <v>4615</v>
      </c>
      <c r="Y42" s="285">
        <v>46201</v>
      </c>
      <c r="Z42" s="271" t="s">
        <v>150</v>
      </c>
      <c r="AA42" s="287" t="s">
        <v>151</v>
      </c>
      <c r="AB42" s="271" t="s">
        <v>76</v>
      </c>
      <c r="AC42" s="271" t="s">
        <v>77</v>
      </c>
      <c r="AD42" s="271" t="s">
        <v>136</v>
      </c>
      <c r="AE42" s="88" t="s">
        <v>47</v>
      </c>
      <c r="AF42" s="88">
        <v>8517</v>
      </c>
      <c r="AG42" s="88">
        <v>1</v>
      </c>
      <c r="AH42" s="88">
        <v>255.61</v>
      </c>
      <c r="AI42" s="88">
        <f t="shared" si="44"/>
        <v>255.61</v>
      </c>
      <c r="AJ42" s="89">
        <v>9</v>
      </c>
      <c r="AK42" s="89">
        <f t="shared" si="45"/>
        <v>23.004900000000003</v>
      </c>
      <c r="AL42" s="89">
        <v>9</v>
      </c>
      <c r="AM42" s="89">
        <f t="shared" si="46"/>
        <v>23.004900000000003</v>
      </c>
      <c r="AN42" s="89"/>
      <c r="AO42" s="89"/>
      <c r="AP42" s="89">
        <f t="shared" si="47"/>
        <v>46.009800000000006</v>
      </c>
      <c r="AQ42" s="88">
        <f t="shared" si="48"/>
        <v>255.61</v>
      </c>
      <c r="AR42" s="89">
        <f t="shared" si="39"/>
        <v>301.6198</v>
      </c>
      <c r="AS42" s="271">
        <f>AR42+AR43+AR44+AR45</f>
        <v>5353.7780000000002</v>
      </c>
      <c r="AT42" s="88"/>
      <c r="AU42" s="280">
        <f>AV42-AS42</f>
        <v>0.22199999999975262</v>
      </c>
      <c r="AV42" s="280">
        <v>5354</v>
      </c>
    </row>
    <row r="43" spans="2:48" s="87" customFormat="1" x14ac:dyDescent="0.25">
      <c r="B43" s="88" t="s">
        <v>108</v>
      </c>
      <c r="C43" s="96">
        <v>46196</v>
      </c>
      <c r="D43" s="88" t="s">
        <v>18</v>
      </c>
      <c r="E43" s="88" t="s">
        <v>14</v>
      </c>
      <c r="F43" s="88" t="s">
        <v>15</v>
      </c>
      <c r="G43" s="88" t="s">
        <v>16</v>
      </c>
      <c r="H43" s="88" t="s">
        <v>109</v>
      </c>
      <c r="I43" s="88">
        <v>84733099</v>
      </c>
      <c r="J43" s="88">
        <v>322.02999999999997</v>
      </c>
      <c r="K43" s="88">
        <v>1</v>
      </c>
      <c r="L43" s="89">
        <f t="shared" si="40"/>
        <v>322.02999999999997</v>
      </c>
      <c r="M43" s="88">
        <v>9</v>
      </c>
      <c r="N43" s="89">
        <f t="shared" ref="N43" si="51">(M43*L43)/100</f>
        <v>28.982699999999994</v>
      </c>
      <c r="O43" s="88">
        <v>9</v>
      </c>
      <c r="P43" s="89">
        <f t="shared" ref="P43" si="52">(M43*L43)/100</f>
        <v>28.982699999999994</v>
      </c>
      <c r="Q43" s="88"/>
      <c r="R43" s="89">
        <f t="shared" ref="R43" si="53">(Q43*L43)/100</f>
        <v>0</v>
      </c>
      <c r="S43" s="89">
        <f t="shared" ref="S43" si="54">N43+P43+R43</f>
        <v>57.965399999999988</v>
      </c>
      <c r="T43" s="88">
        <v>322.02999999999997</v>
      </c>
      <c r="U43" s="89">
        <f t="shared" si="43"/>
        <v>379.99539999999996</v>
      </c>
      <c r="V43" s="90"/>
      <c r="W43" s="91"/>
      <c r="X43" s="91"/>
      <c r="Y43" s="286"/>
      <c r="Z43" s="272"/>
      <c r="AA43" s="288"/>
      <c r="AB43" s="272"/>
      <c r="AC43" s="272"/>
      <c r="AD43" s="272"/>
      <c r="AE43" s="88" t="s">
        <v>109</v>
      </c>
      <c r="AF43" s="88">
        <v>84733099</v>
      </c>
      <c r="AG43" s="88">
        <v>1</v>
      </c>
      <c r="AH43" s="88">
        <v>373.58</v>
      </c>
      <c r="AI43" s="88">
        <f t="shared" si="44"/>
        <v>373.58</v>
      </c>
      <c r="AJ43" s="89">
        <v>9</v>
      </c>
      <c r="AK43" s="89">
        <f t="shared" si="45"/>
        <v>33.622199999999999</v>
      </c>
      <c r="AL43" s="89">
        <v>9</v>
      </c>
      <c r="AM43" s="89">
        <f t="shared" si="46"/>
        <v>33.622199999999999</v>
      </c>
      <c r="AN43" s="89"/>
      <c r="AO43" s="89"/>
      <c r="AP43" s="89">
        <f t="shared" si="47"/>
        <v>67.244399999999999</v>
      </c>
      <c r="AQ43" s="88">
        <f t="shared" si="48"/>
        <v>373.58</v>
      </c>
      <c r="AR43" s="89">
        <f t="shared" si="39"/>
        <v>440.82439999999997</v>
      </c>
      <c r="AS43" s="272"/>
      <c r="AT43" s="88"/>
      <c r="AU43" s="281"/>
      <c r="AV43" s="281"/>
    </row>
    <row r="44" spans="2:48" s="87" customFormat="1" x14ac:dyDescent="0.25">
      <c r="B44" s="88" t="s">
        <v>108</v>
      </c>
      <c r="C44" s="96">
        <v>46196</v>
      </c>
      <c r="D44" s="88" t="s">
        <v>18</v>
      </c>
      <c r="E44" s="88" t="s">
        <v>14</v>
      </c>
      <c r="F44" s="88" t="s">
        <v>15</v>
      </c>
      <c r="G44" s="88" t="s">
        <v>16</v>
      </c>
      <c r="H44" s="88" t="s">
        <v>110</v>
      </c>
      <c r="I44" s="88">
        <v>84733099</v>
      </c>
      <c r="J44" s="88">
        <v>1186.44</v>
      </c>
      <c r="K44" s="88">
        <v>1</v>
      </c>
      <c r="L44" s="89">
        <f t="shared" ref="L44" si="55">J44*K44</f>
        <v>1186.44</v>
      </c>
      <c r="M44" s="88">
        <v>9</v>
      </c>
      <c r="N44" s="89">
        <f t="shared" ref="N44" si="56">(M44*L44)/100</f>
        <v>106.77960000000002</v>
      </c>
      <c r="O44" s="88">
        <v>9</v>
      </c>
      <c r="P44" s="89">
        <f t="shared" ref="P44" si="57">(M44*L44)/100</f>
        <v>106.77960000000002</v>
      </c>
      <c r="Q44" s="88"/>
      <c r="R44" s="89">
        <f t="shared" ref="R44" si="58">(Q44*L44)/100</f>
        <v>0</v>
      </c>
      <c r="S44" s="89">
        <f t="shared" ref="S44" si="59">N44+P44+R44</f>
        <v>213.55920000000003</v>
      </c>
      <c r="T44" s="88">
        <v>1186.44</v>
      </c>
      <c r="U44" s="89">
        <f t="shared" ref="U44" si="60">(T44+S44)</f>
        <v>1399.9992000000002</v>
      </c>
      <c r="V44" s="90"/>
      <c r="W44" s="91"/>
      <c r="X44" s="91"/>
      <c r="Y44" s="286"/>
      <c r="Z44" s="272"/>
      <c r="AA44" s="288"/>
      <c r="AB44" s="272"/>
      <c r="AC44" s="272"/>
      <c r="AD44" s="272"/>
      <c r="AE44" s="88" t="s">
        <v>110</v>
      </c>
      <c r="AF44" s="88">
        <v>84733099</v>
      </c>
      <c r="AG44" s="88">
        <v>1</v>
      </c>
      <c r="AH44" s="88">
        <v>1376.37</v>
      </c>
      <c r="AI44" s="88">
        <f t="shared" si="44"/>
        <v>1376.37</v>
      </c>
      <c r="AJ44" s="89">
        <v>9</v>
      </c>
      <c r="AK44" s="89">
        <f t="shared" si="45"/>
        <v>123.87329999999999</v>
      </c>
      <c r="AL44" s="89">
        <v>9</v>
      </c>
      <c r="AM44" s="89">
        <f t="shared" si="46"/>
        <v>123.87329999999999</v>
      </c>
      <c r="AN44" s="89"/>
      <c r="AO44" s="89"/>
      <c r="AP44" s="89">
        <f t="shared" si="47"/>
        <v>247.74659999999997</v>
      </c>
      <c r="AQ44" s="88">
        <f t="shared" si="48"/>
        <v>1376.37</v>
      </c>
      <c r="AR44" s="89">
        <f t="shared" si="39"/>
        <v>1624.1165999999998</v>
      </c>
      <c r="AS44" s="272"/>
      <c r="AT44" s="88"/>
      <c r="AU44" s="281"/>
      <c r="AV44" s="281"/>
    </row>
    <row r="45" spans="2:48" s="87" customFormat="1" x14ac:dyDescent="0.25">
      <c r="B45" s="131" t="s">
        <v>108</v>
      </c>
      <c r="C45" s="132">
        <v>46196</v>
      </c>
      <c r="D45" s="131" t="s">
        <v>18</v>
      </c>
      <c r="E45" s="131" t="s">
        <v>14</v>
      </c>
      <c r="F45" s="131" t="s">
        <v>15</v>
      </c>
      <c r="G45" s="131" t="s">
        <v>16</v>
      </c>
      <c r="H45" s="131" t="s">
        <v>111</v>
      </c>
      <c r="I45" s="131">
        <v>8523</v>
      </c>
      <c r="J45" s="131">
        <v>2182.1999999999998</v>
      </c>
      <c r="K45" s="131">
        <v>1</v>
      </c>
      <c r="L45" s="133">
        <f t="shared" ref="L45:L48" si="61">J45*K45</f>
        <v>2182.1999999999998</v>
      </c>
      <c r="M45" s="131">
        <v>9</v>
      </c>
      <c r="N45" s="133">
        <f t="shared" ref="N45:N46" si="62">(M45*L45)/100</f>
        <v>196.398</v>
      </c>
      <c r="O45" s="131">
        <v>9</v>
      </c>
      <c r="P45" s="133">
        <f t="shared" ref="P45:P46" si="63">(M45*L45)/100</f>
        <v>196.398</v>
      </c>
      <c r="Q45" s="131"/>
      <c r="R45" s="133">
        <f t="shared" ref="R45:R49" si="64">(Q45*L45)/100</f>
        <v>0</v>
      </c>
      <c r="S45" s="133">
        <f t="shared" ref="S45:S46" si="65">N45+P45+R45</f>
        <v>392.79599999999999</v>
      </c>
      <c r="T45" s="131">
        <v>2182.1999999999998</v>
      </c>
      <c r="U45" s="133">
        <f t="shared" ref="U45" si="66">(T45+S45)</f>
        <v>2574.9959999999996</v>
      </c>
      <c r="V45" s="134"/>
      <c r="W45" s="135"/>
      <c r="X45" s="135"/>
      <c r="Y45" s="286"/>
      <c r="Z45" s="272"/>
      <c r="AA45" s="288"/>
      <c r="AB45" s="272"/>
      <c r="AC45" s="272"/>
      <c r="AD45" s="272"/>
      <c r="AE45" s="131" t="s">
        <v>111</v>
      </c>
      <c r="AF45" s="131">
        <v>8523</v>
      </c>
      <c r="AG45" s="131">
        <v>1</v>
      </c>
      <c r="AH45" s="131">
        <v>2531.54</v>
      </c>
      <c r="AI45" s="131">
        <f t="shared" si="44"/>
        <v>2531.54</v>
      </c>
      <c r="AJ45" s="133">
        <v>9</v>
      </c>
      <c r="AK45" s="133">
        <f t="shared" si="45"/>
        <v>227.83860000000001</v>
      </c>
      <c r="AL45" s="133">
        <v>9</v>
      </c>
      <c r="AM45" s="133">
        <f t="shared" si="46"/>
        <v>227.83860000000001</v>
      </c>
      <c r="AN45" s="133"/>
      <c r="AO45" s="133"/>
      <c r="AP45" s="133">
        <f t="shared" si="47"/>
        <v>455.67720000000003</v>
      </c>
      <c r="AQ45" s="131">
        <f t="shared" si="48"/>
        <v>2531.54</v>
      </c>
      <c r="AR45" s="133">
        <f t="shared" si="39"/>
        <v>2987.2172</v>
      </c>
      <c r="AS45" s="272"/>
      <c r="AT45" s="131"/>
      <c r="AU45" s="281"/>
      <c r="AV45" s="281"/>
    </row>
    <row r="46" spans="2:48" s="1" customFormat="1" x14ac:dyDescent="0.25">
      <c r="B46" s="136" t="s">
        <v>129</v>
      </c>
      <c r="C46" s="137">
        <v>46199</v>
      </c>
      <c r="D46" s="136" t="s">
        <v>32</v>
      </c>
      <c r="E46" s="136" t="s">
        <v>14</v>
      </c>
      <c r="F46" s="136" t="s">
        <v>15</v>
      </c>
      <c r="G46" s="136" t="s">
        <v>16</v>
      </c>
      <c r="H46" s="136" t="s">
        <v>130</v>
      </c>
      <c r="I46" s="136">
        <v>84717020</v>
      </c>
      <c r="J46" s="136">
        <v>1750</v>
      </c>
      <c r="K46" s="136">
        <v>1</v>
      </c>
      <c r="L46" s="138">
        <f t="shared" si="61"/>
        <v>1750</v>
      </c>
      <c r="M46" s="136">
        <v>9</v>
      </c>
      <c r="N46" s="138">
        <f t="shared" si="62"/>
        <v>157.5</v>
      </c>
      <c r="O46" s="136">
        <v>9</v>
      </c>
      <c r="P46" s="138">
        <f t="shared" si="63"/>
        <v>157.5</v>
      </c>
      <c r="Q46" s="136"/>
      <c r="R46" s="138">
        <f t="shared" si="64"/>
        <v>0</v>
      </c>
      <c r="S46" s="138">
        <f t="shared" si="65"/>
        <v>315</v>
      </c>
      <c r="T46" s="138">
        <f>L46</f>
        <v>1750</v>
      </c>
      <c r="U46" s="138">
        <f>T46+S46</f>
        <v>2065</v>
      </c>
      <c r="V46" s="139"/>
      <c r="W46" s="140"/>
      <c r="X46" s="140"/>
      <c r="Y46" s="172">
        <v>46201</v>
      </c>
      <c r="Z46" s="136" t="s">
        <v>157</v>
      </c>
      <c r="AA46" s="141" t="s">
        <v>158</v>
      </c>
      <c r="AB46" s="136" t="s">
        <v>76</v>
      </c>
      <c r="AC46" s="136" t="s">
        <v>77</v>
      </c>
      <c r="AD46" s="136" t="s">
        <v>159</v>
      </c>
      <c r="AE46" s="136" t="s">
        <v>130</v>
      </c>
      <c r="AF46" s="136">
        <v>84717020</v>
      </c>
      <c r="AG46" s="136">
        <v>1</v>
      </c>
      <c r="AH46" s="136">
        <v>1949.16</v>
      </c>
      <c r="AI46" s="136">
        <f t="shared" si="44"/>
        <v>1949.16</v>
      </c>
      <c r="AJ46" s="138">
        <v>9</v>
      </c>
      <c r="AK46" s="138">
        <f t="shared" si="45"/>
        <v>175.42440000000002</v>
      </c>
      <c r="AL46" s="138">
        <v>9</v>
      </c>
      <c r="AM46" s="138">
        <f t="shared" si="46"/>
        <v>175.42440000000002</v>
      </c>
      <c r="AN46" s="138"/>
      <c r="AO46" s="138"/>
      <c r="AP46" s="138">
        <f t="shared" si="47"/>
        <v>350.84880000000004</v>
      </c>
      <c r="AQ46" s="136">
        <f t="shared" si="48"/>
        <v>1949.16</v>
      </c>
      <c r="AR46" s="138">
        <f t="shared" si="39"/>
        <v>2300.0088000000001</v>
      </c>
      <c r="AS46" s="138">
        <f>AR46</f>
        <v>2300.0088000000001</v>
      </c>
      <c r="AT46" s="136"/>
      <c r="AU46" s="138">
        <f>AV46-AS46</f>
        <v>-8.800000000064756E-3</v>
      </c>
      <c r="AV46" s="138">
        <v>2300</v>
      </c>
    </row>
    <row r="47" spans="2:48" s="5" customFormat="1" x14ac:dyDescent="0.25">
      <c r="B47" s="19" t="s">
        <v>152</v>
      </c>
      <c r="C47" s="148">
        <v>46200</v>
      </c>
      <c r="D47" s="19" t="s">
        <v>153</v>
      </c>
      <c r="E47" s="19" t="s">
        <v>14</v>
      </c>
      <c r="F47" s="19" t="s">
        <v>15</v>
      </c>
      <c r="G47" s="19" t="s">
        <v>16</v>
      </c>
      <c r="H47" s="19" t="s">
        <v>38</v>
      </c>
      <c r="I47" s="19">
        <v>997331</v>
      </c>
      <c r="J47" s="19">
        <v>186</v>
      </c>
      <c r="K47" s="19">
        <v>1</v>
      </c>
      <c r="L47" s="20">
        <f t="shared" si="61"/>
        <v>186</v>
      </c>
      <c r="M47" s="19"/>
      <c r="N47" s="20"/>
      <c r="O47" s="19"/>
      <c r="P47" s="19"/>
      <c r="Q47" s="19">
        <v>18</v>
      </c>
      <c r="R47" s="20">
        <f t="shared" si="64"/>
        <v>33.479999999999997</v>
      </c>
      <c r="S47" s="20">
        <v>33.479999999999997</v>
      </c>
      <c r="T47" s="19">
        <v>186</v>
      </c>
      <c r="U47" s="20">
        <f>T47+S47</f>
        <v>219.48</v>
      </c>
      <c r="V47" s="150"/>
      <c r="W47" s="150">
        <f>X47-U47</f>
        <v>0.52000000000001023</v>
      </c>
      <c r="X47" s="74">
        <v>220</v>
      </c>
      <c r="Y47" s="186">
        <v>46201</v>
      </c>
      <c r="Z47" s="197" t="s">
        <v>160</v>
      </c>
      <c r="AA47" s="198" t="s">
        <v>163</v>
      </c>
      <c r="AB47" s="181" t="s">
        <v>76</v>
      </c>
      <c r="AC47" s="181" t="s">
        <v>77</v>
      </c>
      <c r="AD47" s="181" t="s">
        <v>164</v>
      </c>
      <c r="AE47" s="19" t="s">
        <v>38</v>
      </c>
      <c r="AF47" s="19">
        <v>997331</v>
      </c>
      <c r="AG47" s="19">
        <v>1</v>
      </c>
      <c r="AH47" s="19">
        <v>200</v>
      </c>
      <c r="AI47" s="19">
        <f t="shared" si="44"/>
        <v>200</v>
      </c>
      <c r="AJ47" s="20">
        <v>9</v>
      </c>
      <c r="AK47" s="20">
        <f t="shared" si="45"/>
        <v>18</v>
      </c>
      <c r="AL47" s="20">
        <v>9</v>
      </c>
      <c r="AM47" s="20">
        <f t="shared" si="46"/>
        <v>18</v>
      </c>
      <c r="AN47" s="20"/>
      <c r="AO47" s="20"/>
      <c r="AP47" s="20">
        <f t="shared" si="47"/>
        <v>36</v>
      </c>
      <c r="AQ47" s="19">
        <f t="shared" si="48"/>
        <v>200</v>
      </c>
      <c r="AR47" s="20">
        <f t="shared" si="39"/>
        <v>236</v>
      </c>
      <c r="AS47" s="183">
        <f>AR47+AR48</f>
        <v>413</v>
      </c>
      <c r="AT47" s="162"/>
      <c r="AU47" s="183"/>
      <c r="AV47" s="183"/>
    </row>
    <row r="48" spans="2:48" s="5" customFormat="1" x14ac:dyDescent="0.25">
      <c r="B48" s="19" t="s">
        <v>154</v>
      </c>
      <c r="C48" s="148">
        <v>46201</v>
      </c>
      <c r="D48" s="19" t="s">
        <v>153</v>
      </c>
      <c r="E48" s="19" t="s">
        <v>14</v>
      </c>
      <c r="F48" s="19" t="s">
        <v>15</v>
      </c>
      <c r="G48" s="19" t="s">
        <v>16</v>
      </c>
      <c r="H48" s="19" t="s">
        <v>94</v>
      </c>
      <c r="I48" s="19">
        <v>997331</v>
      </c>
      <c r="J48" s="19">
        <v>157</v>
      </c>
      <c r="K48" s="19">
        <v>1</v>
      </c>
      <c r="L48" s="20">
        <f t="shared" si="61"/>
        <v>157</v>
      </c>
      <c r="M48" s="19"/>
      <c r="N48" s="20"/>
      <c r="O48" s="19"/>
      <c r="P48" s="19"/>
      <c r="Q48" s="19">
        <v>18</v>
      </c>
      <c r="R48" s="20">
        <f t="shared" si="64"/>
        <v>28.26</v>
      </c>
      <c r="S48" s="20">
        <f>R48</f>
        <v>28.26</v>
      </c>
      <c r="T48" s="19">
        <v>157</v>
      </c>
      <c r="U48" s="20">
        <f>T48+R48</f>
        <v>185.26</v>
      </c>
      <c r="V48" s="150"/>
      <c r="W48" s="150">
        <f>X48-U48</f>
        <v>-0.25999999999999091</v>
      </c>
      <c r="X48" s="74">
        <v>185</v>
      </c>
      <c r="Y48" s="187"/>
      <c r="Z48" s="184"/>
      <c r="AA48" s="199"/>
      <c r="AB48" s="182"/>
      <c r="AC48" s="182"/>
      <c r="AD48" s="182"/>
      <c r="AE48" s="19" t="s">
        <v>94</v>
      </c>
      <c r="AF48" s="19">
        <v>997331</v>
      </c>
      <c r="AG48" s="19">
        <v>1</v>
      </c>
      <c r="AH48" s="19">
        <v>150</v>
      </c>
      <c r="AI48" s="19">
        <f t="shared" si="44"/>
        <v>150</v>
      </c>
      <c r="AJ48" s="20">
        <v>9</v>
      </c>
      <c r="AK48" s="20">
        <f t="shared" si="45"/>
        <v>13.5</v>
      </c>
      <c r="AL48" s="20">
        <v>9</v>
      </c>
      <c r="AM48" s="20">
        <f t="shared" si="46"/>
        <v>13.5</v>
      </c>
      <c r="AN48" s="20"/>
      <c r="AO48" s="20"/>
      <c r="AP48" s="20">
        <f t="shared" si="47"/>
        <v>27</v>
      </c>
      <c r="AQ48" s="19">
        <f t="shared" si="48"/>
        <v>150</v>
      </c>
      <c r="AR48" s="20">
        <f t="shared" si="39"/>
        <v>177</v>
      </c>
      <c r="AS48" s="184"/>
      <c r="AT48" s="162"/>
      <c r="AU48" s="184"/>
      <c r="AV48" s="185"/>
    </row>
    <row r="49" spans="2:48" s="2" customFormat="1" x14ac:dyDescent="0.25">
      <c r="B49" s="43" t="s">
        <v>155</v>
      </c>
      <c r="C49" s="44">
        <v>46202</v>
      </c>
      <c r="D49" s="43" t="s">
        <v>153</v>
      </c>
      <c r="E49" s="43" t="s">
        <v>14</v>
      </c>
      <c r="F49" s="43" t="s">
        <v>15</v>
      </c>
      <c r="G49" s="43" t="s">
        <v>16</v>
      </c>
      <c r="H49" s="43" t="s">
        <v>38</v>
      </c>
      <c r="I49" s="43">
        <v>997331</v>
      </c>
      <c r="J49" s="43">
        <v>186</v>
      </c>
      <c r="K49" s="43">
        <v>1</v>
      </c>
      <c r="L49" s="45">
        <v>186</v>
      </c>
      <c r="M49" s="43"/>
      <c r="N49" s="45"/>
      <c r="O49" s="43"/>
      <c r="P49" s="43"/>
      <c r="Q49" s="43">
        <v>18</v>
      </c>
      <c r="R49" s="45">
        <f t="shared" si="64"/>
        <v>33.479999999999997</v>
      </c>
      <c r="S49" s="45">
        <v>33.479999999999997</v>
      </c>
      <c r="T49" s="43">
        <v>186</v>
      </c>
      <c r="U49" s="45">
        <v>219.48</v>
      </c>
      <c r="V49" s="46"/>
      <c r="W49" s="46">
        <f>X49-U49</f>
        <v>0.52000000000001023</v>
      </c>
      <c r="X49" s="47">
        <v>220</v>
      </c>
      <c r="Y49" s="169">
        <v>46202</v>
      </c>
      <c r="Z49" s="43" t="s">
        <v>161</v>
      </c>
      <c r="AA49" s="82" t="s">
        <v>140</v>
      </c>
      <c r="AB49" s="43" t="s">
        <v>76</v>
      </c>
      <c r="AC49" s="43" t="s">
        <v>77</v>
      </c>
      <c r="AD49" s="43" t="s">
        <v>141</v>
      </c>
      <c r="AE49" s="43" t="s">
        <v>38</v>
      </c>
      <c r="AF49" s="43">
        <v>997331</v>
      </c>
      <c r="AG49" s="43">
        <v>1</v>
      </c>
      <c r="AH49" s="43">
        <v>200</v>
      </c>
      <c r="AI49" s="43">
        <f>AH49*AG49</f>
        <v>200</v>
      </c>
      <c r="AJ49" s="45">
        <v>9</v>
      </c>
      <c r="AK49" s="45">
        <f t="shared" si="45"/>
        <v>18</v>
      </c>
      <c r="AL49" s="45">
        <v>9</v>
      </c>
      <c r="AM49" s="45">
        <f t="shared" si="46"/>
        <v>18</v>
      </c>
      <c r="AN49" s="45"/>
      <c r="AO49" s="45"/>
      <c r="AP49" s="45">
        <f t="shared" ref="AP49:AP50" si="67">AM49+AK49</f>
        <v>36</v>
      </c>
      <c r="AQ49" s="43">
        <f t="shared" ref="AQ49:AQ50" si="68">AI49</f>
        <v>200</v>
      </c>
      <c r="AR49" s="45">
        <f t="shared" ref="AR49:AR50" si="69">AP49+AQ49</f>
        <v>236</v>
      </c>
      <c r="AS49" s="43"/>
      <c r="AT49" s="43"/>
      <c r="AU49" s="43"/>
      <c r="AV49" s="45"/>
    </row>
    <row r="50" spans="2:48" s="149" customFormat="1" x14ac:dyDescent="0.25">
      <c r="B50" s="142" t="s">
        <v>156</v>
      </c>
      <c r="C50" s="143">
        <v>46202</v>
      </c>
      <c r="D50" s="142" t="s">
        <v>153</v>
      </c>
      <c r="E50" s="142" t="s">
        <v>14</v>
      </c>
      <c r="F50" s="142" t="s">
        <v>15</v>
      </c>
      <c r="G50" s="142" t="s">
        <v>16</v>
      </c>
      <c r="H50" s="142" t="s">
        <v>38</v>
      </c>
      <c r="I50" s="142">
        <v>997331</v>
      </c>
      <c r="J50" s="142">
        <v>186</v>
      </c>
      <c r="K50" s="142">
        <v>1</v>
      </c>
      <c r="L50" s="144">
        <f>J50*K50</f>
        <v>186</v>
      </c>
      <c r="M50" s="142"/>
      <c r="N50" s="144"/>
      <c r="O50" s="142"/>
      <c r="P50" s="142"/>
      <c r="Q50" s="142">
        <v>18</v>
      </c>
      <c r="R50" s="144">
        <v>33.479999999999997</v>
      </c>
      <c r="S50" s="144">
        <v>33.479999999999997</v>
      </c>
      <c r="T50" s="142">
        <v>186</v>
      </c>
      <c r="U50" s="144">
        <f>T50+S50</f>
        <v>219.48</v>
      </c>
      <c r="V50" s="145"/>
      <c r="W50" s="145">
        <f>X50-U50</f>
        <v>0.52000000000001023</v>
      </c>
      <c r="X50" s="146">
        <v>220</v>
      </c>
      <c r="Y50" s="173">
        <v>46202</v>
      </c>
      <c r="Z50" s="142" t="s">
        <v>162</v>
      </c>
      <c r="AA50" s="147" t="s">
        <v>140</v>
      </c>
      <c r="AB50" s="142" t="s">
        <v>76</v>
      </c>
      <c r="AC50" s="142" t="s">
        <v>77</v>
      </c>
      <c r="AD50" s="142" t="s">
        <v>141</v>
      </c>
      <c r="AE50" s="142" t="s">
        <v>38</v>
      </c>
      <c r="AF50" s="142">
        <v>997331</v>
      </c>
      <c r="AG50" s="142">
        <v>1</v>
      </c>
      <c r="AH50" s="142">
        <v>200</v>
      </c>
      <c r="AI50" s="142">
        <f>AH50*AG50</f>
        <v>200</v>
      </c>
      <c r="AJ50" s="144">
        <v>9</v>
      </c>
      <c r="AK50" s="144">
        <f t="shared" si="45"/>
        <v>18</v>
      </c>
      <c r="AL50" s="144">
        <v>9</v>
      </c>
      <c r="AM50" s="144">
        <f t="shared" si="46"/>
        <v>18</v>
      </c>
      <c r="AN50" s="144"/>
      <c r="AO50" s="144"/>
      <c r="AP50" s="144">
        <f t="shared" si="67"/>
        <v>36</v>
      </c>
      <c r="AQ50" s="142">
        <f t="shared" si="68"/>
        <v>200</v>
      </c>
      <c r="AR50" s="144">
        <f t="shared" si="69"/>
        <v>236</v>
      </c>
      <c r="AS50" s="142"/>
      <c r="AT50" s="142"/>
      <c r="AU50" s="142"/>
      <c r="AV50" s="144"/>
    </row>
    <row r="51" spans="2:48" x14ac:dyDescent="0.25">
      <c r="B51" t="s">
        <v>165</v>
      </c>
      <c r="C51" s="175">
        <v>46209</v>
      </c>
      <c r="D51" t="s">
        <v>153</v>
      </c>
      <c r="E51" s="142" t="s">
        <v>14</v>
      </c>
      <c r="F51" s="142" t="s">
        <v>15</v>
      </c>
      <c r="G51" s="142" t="s">
        <v>16</v>
      </c>
      <c r="H51" s="43" t="s">
        <v>101</v>
      </c>
      <c r="I51" s="43">
        <v>997331</v>
      </c>
      <c r="J51" s="43">
        <v>157</v>
      </c>
      <c r="K51" s="43">
        <v>1</v>
      </c>
      <c r="L51" s="45">
        <f t="shared" ref="L51" si="70">J51*K51</f>
        <v>157</v>
      </c>
      <c r="M51" s="43">
        <v>0</v>
      </c>
      <c r="N51" s="45">
        <v>0</v>
      </c>
      <c r="O51" s="43"/>
      <c r="P51" s="45">
        <v>0</v>
      </c>
      <c r="Q51" s="43">
        <v>18</v>
      </c>
      <c r="R51" s="45">
        <f t="shared" ref="R51" si="71">(Q51*L51)/100</f>
        <v>28.26</v>
      </c>
      <c r="S51" s="45">
        <f t="shared" ref="S51" si="72">N51+P51+R51</f>
        <v>28.26</v>
      </c>
      <c r="T51" s="43">
        <v>157</v>
      </c>
      <c r="U51" s="45">
        <f t="shared" ref="U51" si="73">(T51+S51)</f>
        <v>185.26</v>
      </c>
      <c r="V51" s="73">
        <f>U51-W51</f>
        <v>0.25999999999999091</v>
      </c>
      <c r="W51" s="47">
        <v>185</v>
      </c>
      <c r="X51" s="47">
        <v>185</v>
      </c>
      <c r="Z51">
        <v>24</v>
      </c>
    </row>
    <row r="52" spans="2:48" x14ac:dyDescent="0.25">
      <c r="B52" t="s">
        <v>166</v>
      </c>
      <c r="C52" s="176">
        <v>46210</v>
      </c>
      <c r="D52" s="84" t="s">
        <v>18</v>
      </c>
      <c r="E52" s="84" t="s">
        <v>14</v>
      </c>
      <c r="F52" s="84" t="s">
        <v>15</v>
      </c>
      <c r="G52" s="84" t="s">
        <v>16</v>
      </c>
      <c r="H52" s="84" t="s">
        <v>105</v>
      </c>
      <c r="I52" s="84">
        <v>8523</v>
      </c>
      <c r="J52" s="84">
        <v>2203.39</v>
      </c>
      <c r="K52" s="84">
        <v>1</v>
      </c>
      <c r="L52" s="85">
        <f>J52*K52</f>
        <v>2203.39</v>
      </c>
      <c r="M52" s="84">
        <v>9</v>
      </c>
      <c r="N52" s="85">
        <f>(M52*L52)/100</f>
        <v>198.30509999999998</v>
      </c>
      <c r="O52" s="84">
        <v>9</v>
      </c>
      <c r="P52" s="85">
        <f>(O52*L52)/100</f>
        <v>198.30509999999998</v>
      </c>
      <c r="Q52" s="84"/>
      <c r="R52" s="85">
        <f>(Q52*L52)/100</f>
        <v>0</v>
      </c>
      <c r="S52" s="85">
        <f>N52+P52+R52</f>
        <v>396.61019999999996</v>
      </c>
      <c r="T52" s="84">
        <v>2203.39</v>
      </c>
      <c r="U52" s="85">
        <f>T52+S52</f>
        <v>2600.0001999999999</v>
      </c>
      <c r="V52" s="94">
        <f>U52+U53</f>
        <v>2669.9978000000001</v>
      </c>
      <c r="W52" s="94">
        <f>V52-X52</f>
        <v>-2.1999999999025022E-3</v>
      </c>
      <c r="X52" s="179">
        <v>2670</v>
      </c>
      <c r="Z52">
        <v>25</v>
      </c>
    </row>
    <row r="53" spans="2:48" x14ac:dyDescent="0.25">
      <c r="B53" t="s">
        <v>166</v>
      </c>
      <c r="C53" s="176">
        <v>46210</v>
      </c>
      <c r="D53" s="84" t="s">
        <v>18</v>
      </c>
      <c r="E53" s="84" t="s">
        <v>14</v>
      </c>
      <c r="F53" s="84" t="s">
        <v>15</v>
      </c>
      <c r="G53" s="84" t="s">
        <v>16</v>
      </c>
      <c r="H53" s="84" t="s">
        <v>106</v>
      </c>
      <c r="I53" s="84">
        <v>8471</v>
      </c>
      <c r="J53" s="84">
        <v>59.32</v>
      </c>
      <c r="K53" s="84">
        <v>1</v>
      </c>
      <c r="L53" s="85">
        <f>J53*K53</f>
        <v>59.32</v>
      </c>
      <c r="M53" s="84">
        <v>9</v>
      </c>
      <c r="N53" s="85">
        <f>(M53*L53)/100</f>
        <v>5.3388</v>
      </c>
      <c r="O53" s="84">
        <v>9</v>
      </c>
      <c r="P53" s="85">
        <f>(O53*L53)/100</f>
        <v>5.3388</v>
      </c>
      <c r="Q53" s="84"/>
      <c r="R53" s="85">
        <f>(Q53*L53)/100</f>
        <v>0</v>
      </c>
      <c r="S53" s="85">
        <f>N53+P53+R53</f>
        <v>10.6776</v>
      </c>
      <c r="T53" s="84">
        <v>59.32</v>
      </c>
      <c r="U53" s="85">
        <f>(T53+S53)</f>
        <v>69.997600000000006</v>
      </c>
      <c r="V53" s="94"/>
      <c r="W53" s="95"/>
      <c r="X53" s="180"/>
    </row>
    <row r="54" spans="2:48" x14ac:dyDescent="0.25">
      <c r="B54" t="s">
        <v>167</v>
      </c>
      <c r="C54" s="175">
        <v>46211</v>
      </c>
      <c r="D54" s="84" t="s">
        <v>13</v>
      </c>
      <c r="E54" s="84" t="s">
        <v>14</v>
      </c>
      <c r="F54" s="84" t="s">
        <v>15</v>
      </c>
      <c r="G54" s="84" t="s">
        <v>16</v>
      </c>
      <c r="H54" s="84" t="s">
        <v>94</v>
      </c>
      <c r="I54" s="84">
        <v>997331</v>
      </c>
      <c r="J54" s="84">
        <v>157</v>
      </c>
      <c r="K54" s="84">
        <v>1</v>
      </c>
      <c r="L54" s="85">
        <f t="shared" ref="L54:L55" si="74">J54*K54</f>
        <v>157</v>
      </c>
      <c r="M54" s="84">
        <v>0</v>
      </c>
      <c r="N54" s="85">
        <v>0</v>
      </c>
      <c r="O54" s="84"/>
      <c r="P54" s="85">
        <v>0</v>
      </c>
      <c r="Q54" s="84">
        <v>18</v>
      </c>
      <c r="R54" s="85">
        <f t="shared" ref="R54:R55" si="75">(Q54*L54)/100</f>
        <v>28.26</v>
      </c>
      <c r="S54" s="85">
        <f t="shared" ref="S54:S55" si="76">N54+P54+R54</f>
        <v>28.26</v>
      </c>
      <c r="T54" s="84">
        <v>157</v>
      </c>
      <c r="U54" s="85">
        <f t="shared" ref="U54:U55" si="77">(T54+S54)</f>
        <v>185.26</v>
      </c>
      <c r="V54" s="86">
        <f>U54+U55</f>
        <v>404.74</v>
      </c>
      <c r="W54" s="95">
        <f>X54-V54</f>
        <v>0.25999999999999091</v>
      </c>
      <c r="X54" s="95">
        <v>405</v>
      </c>
    </row>
    <row r="55" spans="2:48" x14ac:dyDescent="0.25">
      <c r="B55" t="s">
        <v>167</v>
      </c>
      <c r="C55" s="175">
        <v>46211</v>
      </c>
      <c r="D55" s="84" t="s">
        <v>13</v>
      </c>
      <c r="E55" s="84" t="s">
        <v>14</v>
      </c>
      <c r="F55" s="84" t="s">
        <v>15</v>
      </c>
      <c r="G55" s="84" t="s">
        <v>16</v>
      </c>
      <c r="H55" s="84" t="s">
        <v>38</v>
      </c>
      <c r="I55" s="84">
        <v>997331</v>
      </c>
      <c r="J55" s="84">
        <v>186</v>
      </c>
      <c r="K55" s="84">
        <v>1</v>
      </c>
      <c r="L55" s="85">
        <f t="shared" si="74"/>
        <v>186</v>
      </c>
      <c r="M55" s="84">
        <v>0</v>
      </c>
      <c r="N55" s="85">
        <v>0</v>
      </c>
      <c r="O55" s="84"/>
      <c r="P55" s="85">
        <v>0</v>
      </c>
      <c r="Q55" s="84">
        <v>18</v>
      </c>
      <c r="R55" s="85">
        <f t="shared" si="75"/>
        <v>33.479999999999997</v>
      </c>
      <c r="S55" s="85">
        <f t="shared" si="76"/>
        <v>33.479999999999997</v>
      </c>
      <c r="T55" s="84">
        <v>186</v>
      </c>
      <c r="U55" s="85">
        <f t="shared" si="77"/>
        <v>219.48</v>
      </c>
      <c r="V55" s="86"/>
      <c r="W55" s="95"/>
      <c r="X55" s="95"/>
    </row>
    <row r="56" spans="2:48" x14ac:dyDescent="0.25">
      <c r="D56" s="177" t="s">
        <v>168</v>
      </c>
      <c r="E56" s="178" t="s">
        <v>14</v>
      </c>
    </row>
  </sheetData>
  <autoFilter ref="B1:AV56" xr:uid="{00000000-0009-0000-0000-000000000000}"/>
  <mergeCells count="101">
    <mergeCell ref="X52:X53"/>
    <mergeCell ref="Y42:Y45"/>
    <mergeCell ref="Z42:Z45"/>
    <mergeCell ref="AA42:AA45"/>
    <mergeCell ref="AB42:AB45"/>
    <mergeCell ref="AC42:AC45"/>
    <mergeCell ref="AS33:AS35"/>
    <mergeCell ref="AV33:AV35"/>
    <mergeCell ref="AU33:AU35"/>
    <mergeCell ref="Z33:Z35"/>
    <mergeCell ref="AA33:AA35"/>
    <mergeCell ref="AD42:AD45"/>
    <mergeCell ref="AS42:AS45"/>
    <mergeCell ref="AV42:AV45"/>
    <mergeCell ref="AU42:AU45"/>
    <mergeCell ref="AS37:AS41"/>
    <mergeCell ref="Y33:Y35"/>
    <mergeCell ref="AB33:AB35"/>
    <mergeCell ref="AC33:AC35"/>
    <mergeCell ref="AD33:AD35"/>
    <mergeCell ref="Y37:Y41"/>
    <mergeCell ref="Z37:Z41"/>
    <mergeCell ref="AA37:AA41"/>
    <mergeCell ref="AB37:AB41"/>
    <mergeCell ref="AC37:AC41"/>
    <mergeCell ref="AD37:AD41"/>
    <mergeCell ref="AV17:AV19"/>
    <mergeCell ref="AU17:AU19"/>
    <mergeCell ref="AT17:AT19"/>
    <mergeCell ref="AS21:AS26"/>
    <mergeCell ref="AV21:AV26"/>
    <mergeCell ref="AU21:AU26"/>
    <mergeCell ref="Z21:Z26"/>
    <mergeCell ref="Z27:Z31"/>
    <mergeCell ref="Y27:Y31"/>
    <mergeCell ref="AA27:AA31"/>
    <mergeCell ref="AB27:AB31"/>
    <mergeCell ref="AC27:AC31"/>
    <mergeCell ref="AD27:AD31"/>
    <mergeCell ref="AS27:AS31"/>
    <mergeCell ref="AV27:AV31"/>
    <mergeCell ref="AU27:AU31"/>
    <mergeCell ref="AB21:AB26"/>
    <mergeCell ref="AC21:AC26"/>
    <mergeCell ref="AD21:AD26"/>
    <mergeCell ref="AS2:AS3"/>
    <mergeCell ref="Z2:Z3"/>
    <mergeCell ref="AA2:AA3"/>
    <mergeCell ref="AB2:AB3"/>
    <mergeCell ref="AC2:AC3"/>
    <mergeCell ref="AD2:AD3"/>
    <mergeCell ref="Y21:Y26"/>
    <mergeCell ref="AA21:AA26"/>
    <mergeCell ref="AS17:AS19"/>
    <mergeCell ref="Y14:Y16"/>
    <mergeCell ref="Z14:Z16"/>
    <mergeCell ref="AA14:AA16"/>
    <mergeCell ref="AB14:AB16"/>
    <mergeCell ref="AC14:AC16"/>
    <mergeCell ref="AD14:AD16"/>
    <mergeCell ref="Z4:Z5"/>
    <mergeCell ref="G2:G3"/>
    <mergeCell ref="B2:B3"/>
    <mergeCell ref="C2:C3"/>
    <mergeCell ref="D2:D3"/>
    <mergeCell ref="E2:E3"/>
    <mergeCell ref="F2:F3"/>
    <mergeCell ref="AT7:AT9"/>
    <mergeCell ref="AU7:AU9"/>
    <mergeCell ref="AA7:AA9"/>
    <mergeCell ref="AB7:AB9"/>
    <mergeCell ref="AC7:AC9"/>
    <mergeCell ref="AD7:AD9"/>
    <mergeCell ref="AA4:AA5"/>
    <mergeCell ref="AB4:AB5"/>
    <mergeCell ref="AC4:AC5"/>
    <mergeCell ref="AD4:AD5"/>
    <mergeCell ref="X37:X38"/>
    <mergeCell ref="AD47:AD48"/>
    <mergeCell ref="AS47:AS48"/>
    <mergeCell ref="AV47:AV48"/>
    <mergeCell ref="AU47:AU48"/>
    <mergeCell ref="Y2:Y3"/>
    <mergeCell ref="Y17:Y19"/>
    <mergeCell ref="Z17:Z19"/>
    <mergeCell ref="AA17:AA19"/>
    <mergeCell ref="AB17:AB19"/>
    <mergeCell ref="AC17:AC19"/>
    <mergeCell ref="AD17:AD19"/>
    <mergeCell ref="Y47:Y48"/>
    <mergeCell ref="Z47:Z48"/>
    <mergeCell ref="AA47:AA48"/>
    <mergeCell ref="AB47:AB48"/>
    <mergeCell ref="AC47:AC48"/>
    <mergeCell ref="AS14:AS16"/>
    <mergeCell ref="AV2:AV3"/>
    <mergeCell ref="Y7:Y9"/>
    <mergeCell ref="Z7:Z9"/>
    <mergeCell ref="AQ7:AQ9"/>
    <mergeCell ref="AS7:AS9"/>
    <mergeCell ref="AV7:AV9"/>
  </mergeCells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Prasenjit Naskar</cp:lastModifiedBy>
  <dcterms:created xsi:type="dcterms:W3CDTF">2026-06-04T20:01:58Z</dcterms:created>
  <dcterms:modified xsi:type="dcterms:W3CDTF">2026-08-15T15:18:35Z</dcterms:modified>
</cp:coreProperties>
</file>